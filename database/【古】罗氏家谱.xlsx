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D:\家谱\"/>
    </mc:Choice>
  </mc:AlternateContent>
  <xr:revisionPtr revIDLastSave="0" documentId="13_ncr:1_{2260547F-6449-4C74-9370-7A4ECB63D600}" xr6:coauthVersionLast="47" xr6:coauthVersionMax="47" xr10:uidLastSave="{00000000-0000-0000-0000-000000000000}"/>
  <bookViews>
    <workbookView xWindow="-120" yWindow="-120" windowWidth="29040" windowHeight="15720" xr2:uid="{00000000-000D-0000-FFFF-FFFF00000000}"/>
  </bookViews>
  <sheets>
    <sheet name="Sheet1" sheetId="1" r:id="rId1"/>
  </sheets>
  <externalReferences>
    <externalReference r:id="rId2"/>
    <externalReference r:id="rId3"/>
  </externalReferences>
  <definedNames>
    <definedName name="_xlnm._FilterDatabase" localSheetId="0" hidden="1">Sheet1!$A$1:$AA$886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886" i="1" l="1"/>
  <c r="I886" i="1" s="1"/>
  <c r="H884" i="1"/>
  <c r="I884" i="1" s="1"/>
  <c r="V883" i="1"/>
  <c r="W883" i="1" s="1"/>
  <c r="H883" i="1"/>
  <c r="I883" i="1" s="1"/>
  <c r="V882" i="1"/>
  <c r="W882" i="1" s="1"/>
  <c r="H882" i="1"/>
  <c r="I882" i="1" s="1"/>
  <c r="H881" i="1"/>
  <c r="I881" i="1" s="1"/>
  <c r="H880" i="1"/>
  <c r="I880" i="1" s="1"/>
  <c r="H879" i="1"/>
  <c r="I879" i="1" s="1"/>
  <c r="H875" i="1"/>
  <c r="I875" i="1" s="1"/>
  <c r="V873" i="1"/>
  <c r="W873" i="1" s="1"/>
  <c r="H873" i="1"/>
  <c r="I873" i="1" s="1"/>
  <c r="H872" i="1"/>
  <c r="I872" i="1" s="1"/>
  <c r="V868" i="1"/>
  <c r="W868" i="1" s="1"/>
  <c r="H868" i="1"/>
  <c r="I868" i="1" s="1"/>
  <c r="H867" i="1"/>
  <c r="I867" i="1" s="1"/>
  <c r="H865" i="1"/>
  <c r="I865" i="1" s="1"/>
  <c r="H864" i="1"/>
  <c r="I864" i="1" s="1"/>
  <c r="H863" i="1"/>
  <c r="I863" i="1" s="1"/>
  <c r="H862" i="1"/>
  <c r="I862" i="1" s="1"/>
  <c r="H861" i="1"/>
  <c r="I861" i="1" s="1"/>
  <c r="H858" i="1"/>
  <c r="I858" i="1" s="1"/>
  <c r="H857" i="1"/>
  <c r="I857" i="1" s="1"/>
  <c r="H856" i="1"/>
  <c r="I856" i="1" s="1"/>
  <c r="H855" i="1"/>
  <c r="I855" i="1" s="1"/>
  <c r="H854" i="1"/>
  <c r="I854" i="1" s="1"/>
  <c r="H853" i="1"/>
  <c r="I853" i="1" s="1"/>
  <c r="V851" i="1"/>
  <c r="W851" i="1" s="1"/>
  <c r="H851" i="1"/>
  <c r="I851" i="1" s="1"/>
  <c r="V850" i="1"/>
  <c r="W850" i="1" s="1"/>
  <c r="H850" i="1"/>
  <c r="I850" i="1" s="1"/>
  <c r="V849" i="1"/>
  <c r="W849" i="1" s="1"/>
  <c r="H849" i="1"/>
  <c r="I849" i="1" s="1"/>
  <c r="H848" i="1"/>
  <c r="I848" i="1" s="1"/>
  <c r="H847" i="1"/>
  <c r="I847" i="1" s="1"/>
  <c r="H846" i="1"/>
  <c r="I846" i="1" s="1"/>
  <c r="V845" i="1"/>
  <c r="I845" i="1"/>
  <c r="H845" i="1"/>
  <c r="I844" i="1"/>
  <c r="H844" i="1"/>
  <c r="I843" i="1"/>
  <c r="H843" i="1"/>
  <c r="I842" i="1"/>
  <c r="H842" i="1"/>
  <c r="H841" i="1"/>
  <c r="I841" i="1" s="1"/>
  <c r="I840" i="1"/>
  <c r="H840" i="1"/>
  <c r="W835" i="1"/>
  <c r="V835" i="1"/>
  <c r="I835" i="1"/>
  <c r="H835" i="1"/>
  <c r="I834" i="1"/>
  <c r="H834" i="1"/>
  <c r="I833" i="1"/>
  <c r="H833" i="1"/>
  <c r="H811" i="1"/>
  <c r="I811" i="1" s="1"/>
  <c r="I810" i="1"/>
  <c r="H810" i="1"/>
  <c r="I809" i="1"/>
  <c r="H809" i="1"/>
  <c r="I808" i="1"/>
  <c r="H808" i="1"/>
  <c r="I807" i="1"/>
  <c r="H807" i="1"/>
  <c r="I806" i="1"/>
  <c r="H806" i="1"/>
  <c r="H805" i="1"/>
  <c r="I805" i="1" s="1"/>
  <c r="I804" i="1"/>
  <c r="H804" i="1"/>
  <c r="I803" i="1"/>
  <c r="H803" i="1"/>
  <c r="I802" i="1"/>
  <c r="H802" i="1"/>
  <c r="I801" i="1"/>
  <c r="H801" i="1"/>
  <c r="I799" i="1"/>
  <c r="H799" i="1"/>
  <c r="H798" i="1"/>
  <c r="I798" i="1" s="1"/>
  <c r="I797" i="1"/>
  <c r="H797" i="1"/>
  <c r="I796" i="1"/>
  <c r="H796" i="1"/>
  <c r="I795" i="1"/>
  <c r="H795" i="1"/>
  <c r="I794" i="1"/>
  <c r="H794" i="1"/>
  <c r="I793" i="1"/>
  <c r="H793" i="1"/>
  <c r="H792" i="1"/>
  <c r="I792" i="1" s="1"/>
  <c r="I791" i="1"/>
  <c r="H791" i="1"/>
  <c r="I790" i="1"/>
  <c r="H790" i="1"/>
  <c r="I789" i="1"/>
  <c r="H789" i="1"/>
  <c r="I788" i="1"/>
  <c r="H788" i="1"/>
  <c r="I787" i="1"/>
  <c r="H787" i="1"/>
  <c r="H786" i="1"/>
  <c r="I786" i="1" s="1"/>
  <c r="I785" i="1"/>
  <c r="H785" i="1"/>
  <c r="I784" i="1"/>
  <c r="H784" i="1"/>
  <c r="I783" i="1"/>
  <c r="H783" i="1"/>
  <c r="I782" i="1"/>
  <c r="H782" i="1"/>
  <c r="I781" i="1"/>
  <c r="H781" i="1"/>
  <c r="H780" i="1"/>
  <c r="I780" i="1" s="1"/>
  <c r="I779" i="1"/>
  <c r="H779" i="1"/>
  <c r="I778" i="1"/>
  <c r="H778" i="1"/>
  <c r="I777" i="1"/>
  <c r="H777" i="1"/>
  <c r="I775" i="1"/>
  <c r="H775" i="1"/>
  <c r="I774" i="1"/>
  <c r="H774" i="1"/>
  <c r="H773" i="1"/>
  <c r="I773" i="1" s="1"/>
  <c r="I772" i="1"/>
  <c r="H772" i="1"/>
  <c r="I771" i="1"/>
  <c r="H771" i="1"/>
  <c r="I770" i="1"/>
  <c r="H770" i="1"/>
  <c r="I769" i="1"/>
  <c r="H769" i="1"/>
  <c r="I768" i="1"/>
  <c r="H768" i="1"/>
  <c r="H767" i="1"/>
  <c r="I767" i="1" s="1"/>
  <c r="I766" i="1"/>
  <c r="H766" i="1"/>
  <c r="I765" i="1"/>
  <c r="H765" i="1"/>
  <c r="I764" i="1"/>
  <c r="H764" i="1"/>
  <c r="I763" i="1"/>
  <c r="H763" i="1"/>
  <c r="I762" i="1"/>
  <c r="H762" i="1"/>
  <c r="H761" i="1"/>
  <c r="I761" i="1" s="1"/>
  <c r="I760" i="1"/>
  <c r="H760" i="1"/>
  <c r="I759" i="1"/>
  <c r="H759" i="1"/>
  <c r="I758" i="1"/>
  <c r="H758" i="1"/>
  <c r="I757" i="1"/>
  <c r="H757" i="1"/>
  <c r="I756" i="1"/>
  <c r="H756" i="1"/>
  <c r="H755" i="1"/>
  <c r="I755" i="1" s="1"/>
  <c r="I754" i="1"/>
  <c r="H754" i="1"/>
  <c r="I753" i="1"/>
  <c r="H753" i="1"/>
  <c r="I752" i="1"/>
  <c r="H752" i="1"/>
  <c r="I751" i="1"/>
  <c r="H751" i="1"/>
  <c r="I750" i="1"/>
  <c r="H750" i="1"/>
  <c r="H749" i="1"/>
  <c r="I749" i="1" s="1"/>
  <c r="I748" i="1"/>
  <c r="H748" i="1"/>
  <c r="I747" i="1"/>
  <c r="H747" i="1"/>
  <c r="I745" i="1"/>
  <c r="H745" i="1"/>
  <c r="I744" i="1"/>
  <c r="H744" i="1"/>
  <c r="I743" i="1"/>
  <c r="H743" i="1"/>
  <c r="H742" i="1"/>
  <c r="I742" i="1" s="1"/>
  <c r="I741" i="1"/>
  <c r="H741" i="1"/>
  <c r="I740" i="1"/>
  <c r="H740" i="1"/>
  <c r="I739" i="1"/>
  <c r="H739" i="1"/>
  <c r="I738" i="1"/>
  <c r="H738" i="1"/>
  <c r="I737" i="1"/>
  <c r="H737" i="1"/>
  <c r="H736" i="1"/>
  <c r="I736" i="1" s="1"/>
  <c r="I735" i="1"/>
  <c r="H735" i="1"/>
  <c r="I734" i="1"/>
  <c r="H734" i="1"/>
  <c r="I733" i="1"/>
  <c r="H733" i="1"/>
  <c r="I732" i="1"/>
  <c r="H732" i="1"/>
  <c r="I731" i="1"/>
  <c r="H731" i="1"/>
  <c r="H730" i="1"/>
  <c r="I730" i="1" s="1"/>
  <c r="I729" i="1"/>
  <c r="H729" i="1"/>
  <c r="I728" i="1"/>
  <c r="H728" i="1"/>
  <c r="H727" i="1"/>
  <c r="I727" i="1" s="1"/>
  <c r="H726" i="1"/>
  <c r="I726" i="1" s="1"/>
  <c r="H725" i="1"/>
  <c r="I725" i="1" s="1"/>
  <c r="H724" i="1"/>
  <c r="I724" i="1" s="1"/>
  <c r="I723" i="1"/>
  <c r="H723" i="1"/>
  <c r="H722" i="1"/>
  <c r="I722" i="1" s="1"/>
  <c r="H719" i="1"/>
  <c r="I719" i="1" s="1"/>
  <c r="H718" i="1"/>
  <c r="I718" i="1" s="1"/>
  <c r="H717" i="1"/>
  <c r="I717" i="1" s="1"/>
  <c r="H716" i="1"/>
  <c r="I716" i="1" s="1"/>
  <c r="I715" i="1"/>
  <c r="H715" i="1"/>
  <c r="H714" i="1"/>
  <c r="I714" i="1" s="1"/>
  <c r="H713" i="1"/>
  <c r="I713" i="1" s="1"/>
  <c r="H712" i="1"/>
  <c r="I712" i="1" s="1"/>
  <c r="H711" i="1"/>
  <c r="I711" i="1" s="1"/>
  <c r="H710" i="1"/>
  <c r="I710" i="1" s="1"/>
  <c r="H709" i="1"/>
  <c r="I709" i="1" s="1"/>
  <c r="H708" i="1"/>
  <c r="I708" i="1" s="1"/>
  <c r="H707" i="1"/>
  <c r="I707" i="1" s="1"/>
  <c r="H706" i="1"/>
  <c r="I706" i="1" s="1"/>
  <c r="H705" i="1"/>
  <c r="I705" i="1" s="1"/>
  <c r="H704" i="1"/>
  <c r="I704" i="1" s="1"/>
  <c r="H703" i="1"/>
  <c r="I703" i="1" s="1"/>
  <c r="H702" i="1"/>
  <c r="I702" i="1" s="1"/>
  <c r="H701" i="1"/>
  <c r="I701" i="1" s="1"/>
  <c r="H700" i="1"/>
  <c r="I700" i="1" s="1"/>
  <c r="H699" i="1"/>
  <c r="I699" i="1" s="1"/>
  <c r="H698" i="1"/>
  <c r="I698" i="1" s="1"/>
  <c r="H697" i="1"/>
  <c r="I697" i="1" s="1"/>
  <c r="H696" i="1"/>
  <c r="I696" i="1" s="1"/>
  <c r="H695" i="1"/>
  <c r="I695" i="1" s="1"/>
  <c r="H694" i="1"/>
  <c r="I694" i="1" s="1"/>
  <c r="H693" i="1"/>
  <c r="I693" i="1" s="1"/>
  <c r="H692" i="1"/>
  <c r="I692" i="1" s="1"/>
  <c r="H691" i="1"/>
  <c r="I691" i="1" s="1"/>
  <c r="H690" i="1"/>
  <c r="I690" i="1" s="1"/>
  <c r="H689" i="1"/>
  <c r="I689" i="1" s="1"/>
  <c r="H688" i="1"/>
  <c r="I688" i="1" s="1"/>
  <c r="H687" i="1"/>
  <c r="I687" i="1" s="1"/>
  <c r="H686" i="1"/>
  <c r="I686" i="1" s="1"/>
  <c r="H685" i="1"/>
  <c r="I685" i="1" s="1"/>
  <c r="H684" i="1"/>
  <c r="I684" i="1" s="1"/>
  <c r="H683" i="1"/>
  <c r="I683" i="1" s="1"/>
  <c r="H682" i="1"/>
  <c r="I682" i="1" s="1"/>
  <c r="H681" i="1"/>
  <c r="I681" i="1" s="1"/>
  <c r="H680" i="1"/>
  <c r="I680" i="1" s="1"/>
  <c r="I679" i="1"/>
  <c r="H679" i="1"/>
  <c r="H678" i="1"/>
  <c r="I678" i="1" s="1"/>
  <c r="H677" i="1"/>
  <c r="I677" i="1" s="1"/>
  <c r="H676" i="1"/>
  <c r="I676" i="1" s="1"/>
  <c r="H675" i="1"/>
  <c r="I675" i="1" s="1"/>
  <c r="H674" i="1"/>
  <c r="I674" i="1" s="1"/>
  <c r="I673" i="1"/>
  <c r="H673" i="1"/>
  <c r="H672" i="1"/>
  <c r="I672" i="1" s="1"/>
  <c r="H671" i="1"/>
  <c r="I671" i="1" s="1"/>
  <c r="H670" i="1"/>
  <c r="I670" i="1" s="1"/>
  <c r="H669" i="1"/>
  <c r="I669" i="1" s="1"/>
  <c r="H668" i="1"/>
  <c r="I668" i="1" s="1"/>
  <c r="I667" i="1"/>
  <c r="H667" i="1"/>
  <c r="H666" i="1"/>
  <c r="I666" i="1" s="1"/>
  <c r="H665" i="1"/>
  <c r="I665" i="1" s="1"/>
  <c r="H664" i="1"/>
  <c r="I664" i="1" s="1"/>
  <c r="H663" i="1"/>
  <c r="I663" i="1" s="1"/>
  <c r="H662" i="1"/>
  <c r="I662" i="1" s="1"/>
  <c r="H661" i="1"/>
  <c r="I661" i="1" s="1"/>
  <c r="H660" i="1"/>
  <c r="I660" i="1" s="1"/>
  <c r="H659" i="1"/>
  <c r="I659" i="1" s="1"/>
  <c r="H658" i="1"/>
  <c r="I658" i="1" s="1"/>
  <c r="H657" i="1"/>
  <c r="I657" i="1" s="1"/>
  <c r="H656" i="1"/>
  <c r="I656" i="1" s="1"/>
  <c r="I655" i="1"/>
  <c r="H655" i="1"/>
  <c r="H654" i="1"/>
  <c r="I654" i="1" s="1"/>
  <c r="H653" i="1"/>
  <c r="I653" i="1" s="1"/>
  <c r="H652" i="1"/>
  <c r="I652" i="1" s="1"/>
  <c r="H651" i="1"/>
  <c r="I651" i="1" s="1"/>
  <c r="H650" i="1"/>
  <c r="I650" i="1" s="1"/>
  <c r="H649" i="1"/>
  <c r="I649" i="1" s="1"/>
  <c r="H648" i="1"/>
  <c r="I648" i="1" s="1"/>
  <c r="H647" i="1"/>
  <c r="I647" i="1" s="1"/>
  <c r="H646" i="1"/>
  <c r="I646" i="1" s="1"/>
  <c r="V645" i="1"/>
  <c r="W645" i="1" s="1"/>
  <c r="H645" i="1"/>
  <c r="I645" i="1" s="1"/>
  <c r="W644" i="1"/>
  <c r="V644" i="1"/>
  <c r="H644" i="1"/>
  <c r="I644" i="1" s="1"/>
  <c r="V643" i="1"/>
  <c r="W643" i="1" s="1"/>
  <c r="H643" i="1"/>
  <c r="I643" i="1" s="1"/>
  <c r="V642" i="1"/>
  <c r="W642" i="1" s="1"/>
  <c r="H642" i="1"/>
  <c r="I642" i="1" s="1"/>
  <c r="V641" i="1"/>
  <c r="W641" i="1" s="1"/>
  <c r="H641" i="1"/>
  <c r="I641" i="1" s="1"/>
  <c r="H639" i="1"/>
  <c r="I639" i="1" s="1"/>
  <c r="H638" i="1"/>
  <c r="I638" i="1" s="1"/>
  <c r="H637" i="1"/>
  <c r="I637" i="1" s="1"/>
  <c r="H636" i="1"/>
  <c r="I636" i="1" s="1"/>
  <c r="H635" i="1"/>
  <c r="I635" i="1" s="1"/>
  <c r="H634" i="1"/>
  <c r="I634" i="1" s="1"/>
  <c r="H633" i="1"/>
  <c r="I633" i="1" s="1"/>
  <c r="H632" i="1"/>
  <c r="I632" i="1" s="1"/>
  <c r="H631" i="1"/>
  <c r="I631" i="1" s="1"/>
  <c r="H630" i="1"/>
  <c r="I630" i="1" s="1"/>
  <c r="H629" i="1"/>
  <c r="I629" i="1" s="1"/>
  <c r="H628" i="1"/>
  <c r="I628" i="1" s="1"/>
  <c r="H627" i="1"/>
  <c r="I627" i="1" s="1"/>
  <c r="H626" i="1"/>
  <c r="I626" i="1" s="1"/>
  <c r="H625" i="1"/>
  <c r="I625" i="1" s="1"/>
  <c r="H624" i="1"/>
  <c r="I624" i="1" s="1"/>
  <c r="H623" i="1"/>
  <c r="I623" i="1" s="1"/>
  <c r="H622" i="1"/>
  <c r="I622" i="1" s="1"/>
  <c r="H619" i="1"/>
  <c r="I619" i="1" s="1"/>
  <c r="V618" i="1"/>
  <c r="W618" i="1" s="1"/>
  <c r="H618" i="1"/>
  <c r="I618" i="1" s="1"/>
  <c r="H616" i="1"/>
  <c r="I616" i="1" s="1"/>
  <c r="H612" i="1"/>
  <c r="I612" i="1" s="1"/>
  <c r="H605" i="1"/>
  <c r="I605" i="1" s="1"/>
  <c r="H599" i="1"/>
  <c r="I599" i="1" s="1"/>
  <c r="H598" i="1"/>
  <c r="I598" i="1" s="1"/>
  <c r="H597" i="1"/>
  <c r="I597" i="1" s="1"/>
  <c r="H590" i="1"/>
  <c r="I590" i="1" s="1"/>
  <c r="I589" i="1"/>
  <c r="H589" i="1"/>
  <c r="H588" i="1"/>
  <c r="I588" i="1" s="1"/>
  <c r="H586" i="1"/>
  <c r="I586" i="1" s="1"/>
  <c r="H585" i="1"/>
  <c r="I585" i="1" s="1"/>
  <c r="H583" i="1"/>
  <c r="I583" i="1" s="1"/>
  <c r="H582" i="1"/>
  <c r="I582" i="1" s="1"/>
  <c r="H581" i="1"/>
  <c r="I581" i="1" s="1"/>
  <c r="H580" i="1"/>
  <c r="I580" i="1" s="1"/>
  <c r="H579" i="1"/>
  <c r="I579" i="1" s="1"/>
  <c r="H578" i="1"/>
  <c r="I578" i="1" s="1"/>
  <c r="H577" i="1"/>
  <c r="I577" i="1" s="1"/>
  <c r="H576" i="1"/>
  <c r="I576" i="1" s="1"/>
  <c r="I575" i="1"/>
  <c r="H575" i="1"/>
  <c r="H574" i="1"/>
  <c r="I574" i="1" s="1"/>
  <c r="H573" i="1"/>
  <c r="I573" i="1" s="1"/>
  <c r="H572" i="1"/>
  <c r="I572" i="1" s="1"/>
  <c r="H571" i="1"/>
  <c r="I571" i="1" s="1"/>
  <c r="H570" i="1"/>
  <c r="I570" i="1" s="1"/>
  <c r="H569" i="1"/>
  <c r="I569" i="1" s="1"/>
  <c r="H568" i="1"/>
  <c r="I568" i="1" s="1"/>
  <c r="H567" i="1"/>
  <c r="I567" i="1" s="1"/>
  <c r="H566" i="1"/>
  <c r="I566" i="1" s="1"/>
  <c r="H565" i="1"/>
  <c r="I565" i="1" s="1"/>
  <c r="H564" i="1"/>
  <c r="I564" i="1" s="1"/>
  <c r="I563" i="1"/>
  <c r="H563" i="1"/>
  <c r="H562" i="1"/>
  <c r="I562" i="1" s="1"/>
  <c r="H561" i="1"/>
  <c r="I561" i="1" s="1"/>
  <c r="H560" i="1"/>
  <c r="I560" i="1" s="1"/>
  <c r="H559" i="1"/>
  <c r="I559" i="1" s="1"/>
  <c r="H558" i="1"/>
  <c r="I558" i="1" s="1"/>
  <c r="H557" i="1"/>
  <c r="I557" i="1" s="1"/>
  <c r="H556" i="1"/>
  <c r="I556" i="1" s="1"/>
  <c r="H555" i="1"/>
  <c r="I555" i="1" s="1"/>
  <c r="H554" i="1"/>
  <c r="I554" i="1" s="1"/>
  <c r="H553" i="1"/>
  <c r="I553" i="1" s="1"/>
  <c r="H552" i="1"/>
  <c r="I552" i="1" s="1"/>
  <c r="H551" i="1"/>
  <c r="I551" i="1" s="1"/>
  <c r="H550" i="1"/>
  <c r="I550" i="1" s="1"/>
  <c r="H549" i="1"/>
  <c r="I549" i="1" s="1"/>
  <c r="H548" i="1"/>
  <c r="I548" i="1" s="1"/>
  <c r="H547" i="1"/>
  <c r="I547" i="1" s="1"/>
  <c r="H546" i="1"/>
  <c r="I546" i="1" s="1"/>
  <c r="H545" i="1"/>
  <c r="I545" i="1" s="1"/>
  <c r="H544" i="1"/>
  <c r="I544" i="1" s="1"/>
  <c r="H543" i="1"/>
  <c r="I543" i="1" s="1"/>
  <c r="H542" i="1"/>
  <c r="I542" i="1" s="1"/>
  <c r="H541" i="1"/>
  <c r="I541" i="1" s="1"/>
  <c r="H540" i="1"/>
  <c r="I540" i="1" s="1"/>
  <c r="I539" i="1"/>
  <c r="H539" i="1"/>
  <c r="H538" i="1"/>
  <c r="I538" i="1" s="1"/>
  <c r="H537" i="1"/>
  <c r="I537" i="1" s="1"/>
  <c r="H536" i="1"/>
  <c r="I536" i="1" s="1"/>
  <c r="H535" i="1"/>
  <c r="I535" i="1" s="1"/>
  <c r="H534" i="1"/>
  <c r="I534" i="1" s="1"/>
  <c r="I533" i="1"/>
  <c r="H533" i="1"/>
  <c r="H532" i="1"/>
  <c r="I532" i="1" s="1"/>
  <c r="H531" i="1"/>
  <c r="I531" i="1" s="1"/>
  <c r="H530" i="1"/>
  <c r="I530" i="1" s="1"/>
  <c r="H529" i="1"/>
  <c r="I529" i="1" s="1"/>
  <c r="H528" i="1"/>
  <c r="I528" i="1" s="1"/>
  <c r="H527" i="1"/>
  <c r="I527" i="1" s="1"/>
  <c r="H526" i="1"/>
  <c r="I526" i="1" s="1"/>
  <c r="H525" i="1"/>
  <c r="I525" i="1" s="1"/>
  <c r="H524" i="1"/>
  <c r="I524" i="1" s="1"/>
  <c r="H523" i="1"/>
  <c r="I523" i="1" s="1"/>
  <c r="H522" i="1"/>
  <c r="I522" i="1" s="1"/>
  <c r="I521" i="1"/>
  <c r="H521" i="1"/>
  <c r="H520" i="1"/>
  <c r="I520" i="1" s="1"/>
  <c r="H519" i="1"/>
  <c r="I519" i="1" s="1"/>
  <c r="H518" i="1"/>
  <c r="I518" i="1" s="1"/>
  <c r="H517" i="1"/>
  <c r="I517" i="1" s="1"/>
  <c r="H516" i="1"/>
  <c r="I516" i="1" s="1"/>
  <c r="I515" i="1"/>
  <c r="H515" i="1"/>
  <c r="H514" i="1"/>
  <c r="I514" i="1" s="1"/>
  <c r="H513" i="1"/>
  <c r="I513" i="1" s="1"/>
  <c r="H512" i="1"/>
  <c r="I512" i="1" s="1"/>
  <c r="H511" i="1"/>
  <c r="I511" i="1" s="1"/>
  <c r="H510" i="1"/>
  <c r="I510" i="1" s="1"/>
  <c r="H509" i="1"/>
  <c r="I509" i="1" s="1"/>
  <c r="H508" i="1"/>
  <c r="I508" i="1" s="1"/>
  <c r="H507" i="1"/>
  <c r="I507" i="1" s="1"/>
  <c r="H506" i="1"/>
  <c r="I506" i="1" s="1"/>
  <c r="H505" i="1"/>
  <c r="I505" i="1" s="1"/>
  <c r="H504" i="1"/>
  <c r="I504" i="1" s="1"/>
  <c r="I503" i="1"/>
  <c r="H503" i="1"/>
  <c r="H502" i="1"/>
  <c r="I502" i="1" s="1"/>
  <c r="H501" i="1"/>
  <c r="I501" i="1" s="1"/>
  <c r="H500" i="1"/>
  <c r="I500" i="1" s="1"/>
  <c r="H499" i="1"/>
  <c r="I499" i="1" s="1"/>
  <c r="H498" i="1"/>
  <c r="I498" i="1" s="1"/>
  <c r="H497" i="1"/>
  <c r="I497" i="1" s="1"/>
  <c r="H496" i="1"/>
  <c r="I496" i="1" s="1"/>
  <c r="H495" i="1"/>
  <c r="I495" i="1" s="1"/>
  <c r="H494" i="1"/>
  <c r="I494" i="1" s="1"/>
  <c r="H493" i="1"/>
  <c r="I493" i="1" s="1"/>
  <c r="H492" i="1"/>
  <c r="I492" i="1" s="1"/>
  <c r="H491" i="1"/>
  <c r="I491" i="1" s="1"/>
  <c r="H490" i="1"/>
  <c r="I490" i="1" s="1"/>
  <c r="H489" i="1"/>
  <c r="I489" i="1" s="1"/>
  <c r="H488" i="1"/>
  <c r="I488" i="1" s="1"/>
  <c r="H487" i="1"/>
  <c r="I487" i="1" s="1"/>
  <c r="H486" i="1"/>
  <c r="I486" i="1" s="1"/>
  <c r="H485" i="1"/>
  <c r="I485" i="1" s="1"/>
  <c r="H484" i="1"/>
  <c r="I484" i="1" s="1"/>
  <c r="H483" i="1"/>
  <c r="I483" i="1" s="1"/>
  <c r="H482" i="1"/>
  <c r="I482" i="1" s="1"/>
  <c r="H481" i="1"/>
  <c r="I481" i="1" s="1"/>
  <c r="H480" i="1"/>
  <c r="I480" i="1" s="1"/>
  <c r="H479" i="1"/>
  <c r="I479" i="1" s="1"/>
  <c r="H478" i="1"/>
  <c r="I478" i="1" s="1"/>
  <c r="H477" i="1"/>
  <c r="I477" i="1" s="1"/>
  <c r="H476" i="1"/>
  <c r="I476" i="1" s="1"/>
  <c r="H475" i="1"/>
  <c r="I475" i="1" s="1"/>
  <c r="H474" i="1"/>
  <c r="I474" i="1" s="1"/>
  <c r="H472" i="1"/>
  <c r="I472" i="1" s="1"/>
  <c r="H471" i="1"/>
  <c r="I471" i="1" s="1"/>
  <c r="H470" i="1"/>
  <c r="I470" i="1" s="1"/>
  <c r="H469" i="1"/>
  <c r="I469" i="1" s="1"/>
  <c r="H468" i="1"/>
  <c r="I468" i="1" s="1"/>
  <c r="H467" i="1"/>
  <c r="I467" i="1" s="1"/>
  <c r="H466" i="1"/>
  <c r="I466" i="1" s="1"/>
  <c r="H465" i="1"/>
  <c r="I465" i="1" s="1"/>
  <c r="H464" i="1"/>
  <c r="I464" i="1" s="1"/>
  <c r="H463" i="1"/>
  <c r="I463" i="1" s="1"/>
  <c r="H462" i="1"/>
  <c r="I462" i="1" s="1"/>
  <c r="H461" i="1"/>
  <c r="I461" i="1" s="1"/>
  <c r="I460" i="1"/>
  <c r="H460" i="1"/>
  <c r="H459" i="1"/>
  <c r="I459" i="1" s="1"/>
  <c r="H458" i="1"/>
  <c r="I458" i="1" s="1"/>
  <c r="H457" i="1"/>
  <c r="I457" i="1" s="1"/>
  <c r="H456" i="1"/>
  <c r="I456" i="1" s="1"/>
  <c r="H455" i="1"/>
  <c r="I455" i="1" s="1"/>
  <c r="H454" i="1"/>
  <c r="I454" i="1" s="1"/>
  <c r="H453" i="1"/>
  <c r="I453" i="1" s="1"/>
  <c r="H452" i="1"/>
  <c r="I452" i="1" s="1"/>
  <c r="H451" i="1"/>
  <c r="I451" i="1" s="1"/>
  <c r="H450" i="1"/>
  <c r="I450" i="1" s="1"/>
  <c r="H449" i="1"/>
  <c r="I449" i="1" s="1"/>
  <c r="I448" i="1"/>
  <c r="H448" i="1"/>
  <c r="H447" i="1"/>
  <c r="I447" i="1" s="1"/>
  <c r="H446" i="1"/>
  <c r="I446" i="1" s="1"/>
  <c r="H445" i="1"/>
  <c r="I445" i="1" s="1"/>
  <c r="H444" i="1"/>
  <c r="I444" i="1" s="1"/>
  <c r="H443" i="1"/>
  <c r="I443" i="1" s="1"/>
  <c r="I442" i="1"/>
  <c r="H442" i="1"/>
  <c r="H441" i="1"/>
  <c r="I441" i="1" s="1"/>
  <c r="H440" i="1"/>
  <c r="I440" i="1" s="1"/>
  <c r="H439" i="1"/>
  <c r="I439" i="1" s="1"/>
  <c r="H438" i="1"/>
  <c r="I438" i="1" s="1"/>
  <c r="H437" i="1"/>
  <c r="I437" i="1" s="1"/>
  <c r="H436" i="1"/>
  <c r="I436" i="1" s="1"/>
  <c r="H435" i="1"/>
  <c r="I435" i="1" s="1"/>
  <c r="H434" i="1"/>
  <c r="I434" i="1" s="1"/>
  <c r="H433" i="1"/>
  <c r="I433" i="1" s="1"/>
  <c r="H432" i="1"/>
  <c r="I432" i="1" s="1"/>
  <c r="H431" i="1"/>
  <c r="I431" i="1" s="1"/>
  <c r="I430" i="1"/>
  <c r="H430" i="1"/>
  <c r="H429" i="1"/>
  <c r="I429" i="1" s="1"/>
  <c r="H428" i="1"/>
  <c r="I428" i="1" s="1"/>
  <c r="H427" i="1"/>
  <c r="I427" i="1" s="1"/>
  <c r="H426" i="1"/>
  <c r="I426" i="1" s="1"/>
  <c r="H425" i="1"/>
  <c r="I425" i="1" s="1"/>
  <c r="H424" i="1"/>
  <c r="I424" i="1" s="1"/>
  <c r="H423" i="1"/>
  <c r="I423" i="1" s="1"/>
  <c r="H422" i="1"/>
  <c r="I422" i="1" s="1"/>
  <c r="H421" i="1"/>
  <c r="I421" i="1" s="1"/>
  <c r="H420" i="1"/>
  <c r="I420" i="1" s="1"/>
  <c r="H419" i="1"/>
  <c r="I419" i="1" s="1"/>
  <c r="H418" i="1"/>
  <c r="I418" i="1" s="1"/>
  <c r="H417" i="1"/>
  <c r="I417" i="1" s="1"/>
  <c r="H416" i="1"/>
  <c r="I416" i="1" s="1"/>
  <c r="H415" i="1"/>
  <c r="I415" i="1" s="1"/>
  <c r="H414" i="1"/>
  <c r="I414" i="1" s="1"/>
  <c r="H413" i="1"/>
  <c r="I413" i="1" s="1"/>
  <c r="H412" i="1"/>
  <c r="I412" i="1" s="1"/>
  <c r="H411" i="1"/>
  <c r="I411" i="1" s="1"/>
  <c r="H410" i="1"/>
  <c r="I410" i="1" s="1"/>
  <c r="H409" i="1"/>
  <c r="I409" i="1" s="1"/>
  <c r="H408" i="1"/>
  <c r="I408" i="1" s="1"/>
  <c r="H407" i="1"/>
  <c r="I407" i="1" s="1"/>
  <c r="H406" i="1"/>
  <c r="I406" i="1" s="1"/>
  <c r="H405" i="1"/>
  <c r="I405" i="1" s="1"/>
  <c r="H404" i="1"/>
  <c r="I404" i="1" s="1"/>
  <c r="H403" i="1"/>
  <c r="I403" i="1" s="1"/>
  <c r="H402" i="1"/>
  <c r="I402" i="1" s="1"/>
  <c r="H401" i="1"/>
  <c r="I401" i="1" s="1"/>
  <c r="H400" i="1"/>
  <c r="I400" i="1" s="1"/>
  <c r="H399" i="1"/>
  <c r="I399" i="1" s="1"/>
  <c r="H398" i="1"/>
  <c r="I398" i="1" s="1"/>
  <c r="H397" i="1"/>
  <c r="I397" i="1" s="1"/>
  <c r="H396" i="1"/>
  <c r="I396" i="1" s="1"/>
  <c r="H395" i="1"/>
  <c r="I395" i="1" s="1"/>
  <c r="H394" i="1"/>
  <c r="I394" i="1" s="1"/>
  <c r="H393" i="1"/>
  <c r="I393" i="1" s="1"/>
  <c r="H392" i="1"/>
  <c r="I392" i="1" s="1"/>
  <c r="H390" i="1"/>
  <c r="I390" i="1" s="1"/>
  <c r="H384" i="1"/>
  <c r="I384" i="1" s="1"/>
  <c r="H380" i="1"/>
  <c r="I380" i="1" s="1"/>
  <c r="I379" i="1"/>
  <c r="H379" i="1"/>
  <c r="H378" i="1"/>
  <c r="I378" i="1" s="1"/>
  <c r="H377" i="1"/>
  <c r="I377" i="1" s="1"/>
  <c r="H376" i="1"/>
  <c r="I376" i="1" s="1"/>
  <c r="H369" i="1"/>
  <c r="I369" i="1" s="1"/>
  <c r="H367" i="1"/>
  <c r="I367" i="1" s="1"/>
  <c r="H366" i="1"/>
  <c r="I366" i="1" s="1"/>
  <c r="H365" i="1"/>
  <c r="I365" i="1" s="1"/>
  <c r="H358" i="1"/>
  <c r="I358" i="1" s="1"/>
  <c r="H357" i="1"/>
  <c r="I357" i="1" s="1"/>
  <c r="H356" i="1"/>
  <c r="I356" i="1" s="1"/>
  <c r="H355" i="1"/>
  <c r="I355" i="1" s="1"/>
  <c r="I354" i="1"/>
  <c r="H354" i="1"/>
  <c r="H346" i="1"/>
  <c r="I346" i="1" s="1"/>
  <c r="H345" i="1"/>
  <c r="I345" i="1" s="1"/>
  <c r="H344" i="1"/>
  <c r="I344" i="1" s="1"/>
  <c r="H343" i="1"/>
  <c r="I343" i="1" s="1"/>
  <c r="H342" i="1"/>
  <c r="I342" i="1" s="1"/>
  <c r="H341" i="1"/>
  <c r="I341" i="1" s="1"/>
  <c r="H340" i="1"/>
  <c r="I340" i="1" s="1"/>
  <c r="H339" i="1"/>
  <c r="I339" i="1" s="1"/>
  <c r="H338" i="1"/>
  <c r="I338" i="1" s="1"/>
  <c r="H337" i="1"/>
  <c r="I337" i="1" s="1"/>
  <c r="H335" i="1"/>
  <c r="I335" i="1" s="1"/>
  <c r="H334" i="1"/>
  <c r="I334" i="1" s="1"/>
  <c r="H333" i="1"/>
  <c r="I333" i="1" s="1"/>
  <c r="H332" i="1"/>
  <c r="I332" i="1" s="1"/>
  <c r="H331" i="1"/>
  <c r="I331" i="1" s="1"/>
  <c r="H330" i="1"/>
  <c r="I330" i="1" s="1"/>
  <c r="H329" i="1"/>
  <c r="I329" i="1" s="1"/>
  <c r="I328" i="1"/>
  <c r="H328" i="1"/>
  <c r="H327" i="1"/>
  <c r="I327" i="1" s="1"/>
  <c r="H326" i="1"/>
  <c r="I326" i="1" s="1"/>
  <c r="H325" i="1"/>
  <c r="I325" i="1" s="1"/>
  <c r="H324" i="1"/>
  <c r="I324" i="1" s="1"/>
  <c r="H323" i="1"/>
  <c r="I323" i="1" s="1"/>
  <c r="H322" i="1"/>
  <c r="I322" i="1" s="1"/>
  <c r="H321" i="1"/>
  <c r="I321" i="1" s="1"/>
  <c r="H320" i="1"/>
  <c r="I320" i="1" s="1"/>
  <c r="H319" i="1"/>
  <c r="I319" i="1" s="1"/>
  <c r="H318" i="1"/>
  <c r="I318" i="1" s="1"/>
  <c r="H317" i="1"/>
  <c r="I317" i="1" s="1"/>
  <c r="H316" i="1"/>
  <c r="I316" i="1" s="1"/>
  <c r="H315" i="1"/>
  <c r="I315" i="1" s="1"/>
  <c r="H314" i="1"/>
  <c r="I314" i="1" s="1"/>
  <c r="H313" i="1"/>
  <c r="I313" i="1" s="1"/>
  <c r="H312" i="1"/>
  <c r="I312" i="1" s="1"/>
  <c r="H311" i="1"/>
  <c r="I311" i="1" s="1"/>
  <c r="H310" i="1"/>
  <c r="I310" i="1" s="1"/>
  <c r="H309" i="1"/>
  <c r="I309" i="1" s="1"/>
  <c r="H308" i="1"/>
  <c r="I308" i="1" s="1"/>
  <c r="H307" i="1"/>
  <c r="I307" i="1" s="1"/>
  <c r="H306" i="1"/>
  <c r="I306" i="1" s="1"/>
  <c r="H305" i="1"/>
  <c r="I305" i="1" s="1"/>
  <c r="H304" i="1"/>
  <c r="I304" i="1" s="1"/>
  <c r="H303" i="1"/>
  <c r="I303" i="1" s="1"/>
  <c r="H302" i="1"/>
  <c r="I302" i="1" s="1"/>
  <c r="H301" i="1"/>
  <c r="I301" i="1" s="1"/>
  <c r="H300" i="1"/>
  <c r="I300" i="1" s="1"/>
  <c r="H299" i="1"/>
  <c r="I299" i="1" s="1"/>
  <c r="H298" i="1"/>
  <c r="I298" i="1" s="1"/>
  <c r="H297" i="1"/>
  <c r="I297" i="1" s="1"/>
  <c r="H296" i="1"/>
  <c r="I296" i="1" s="1"/>
  <c r="H295" i="1"/>
  <c r="I295" i="1" s="1"/>
  <c r="I294" i="1"/>
  <c r="I293" i="1"/>
  <c r="H293" i="1"/>
  <c r="H292" i="1"/>
  <c r="I292" i="1" s="1"/>
  <c r="I291" i="1"/>
  <c r="H291" i="1"/>
  <c r="I290" i="1"/>
  <c r="H290" i="1"/>
  <c r="I289" i="1"/>
  <c r="H289" i="1"/>
  <c r="I288" i="1"/>
  <c r="H288" i="1"/>
  <c r="I287" i="1"/>
  <c r="H287" i="1"/>
  <c r="H286" i="1"/>
  <c r="I286" i="1" s="1"/>
  <c r="I285" i="1"/>
  <c r="H285" i="1"/>
  <c r="I284" i="1"/>
  <c r="H284" i="1"/>
  <c r="I283" i="1"/>
  <c r="H283" i="1"/>
  <c r="I282" i="1"/>
  <c r="H282" i="1"/>
  <c r="I281" i="1"/>
  <c r="H281" i="1"/>
  <c r="H280" i="1"/>
  <c r="I280" i="1" s="1"/>
  <c r="I279" i="1"/>
  <c r="H279" i="1"/>
  <c r="I278" i="1"/>
  <c r="H278" i="1"/>
  <c r="I277" i="1"/>
  <c r="H277" i="1"/>
  <c r="I276" i="1"/>
  <c r="H276" i="1"/>
  <c r="I275" i="1"/>
  <c r="H275" i="1"/>
  <c r="H274" i="1"/>
  <c r="I274" i="1" s="1"/>
  <c r="I273" i="1"/>
  <c r="H273" i="1"/>
  <c r="I272" i="1"/>
  <c r="H272" i="1"/>
  <c r="I271" i="1"/>
  <c r="H271" i="1"/>
  <c r="I270" i="1"/>
  <c r="H270" i="1"/>
  <c r="I269" i="1"/>
  <c r="H269" i="1"/>
  <c r="H268" i="1"/>
  <c r="I268" i="1" s="1"/>
  <c r="I267" i="1"/>
  <c r="H267" i="1"/>
  <c r="I266" i="1"/>
  <c r="H266" i="1"/>
  <c r="I265" i="1"/>
  <c r="H265" i="1"/>
  <c r="I264" i="1"/>
  <c r="H264" i="1"/>
  <c r="I263" i="1"/>
  <c r="H263" i="1"/>
  <c r="H262" i="1"/>
  <c r="I262" i="1" s="1"/>
  <c r="I261" i="1"/>
  <c r="H261" i="1"/>
  <c r="I260" i="1"/>
  <c r="H260" i="1"/>
  <c r="I259" i="1"/>
  <c r="H259" i="1"/>
  <c r="I258" i="1"/>
  <c r="H258" i="1"/>
  <c r="I257" i="1"/>
  <c r="H257" i="1"/>
  <c r="H256" i="1"/>
  <c r="I256" i="1" s="1"/>
  <c r="I255" i="1"/>
  <c r="H255" i="1"/>
  <c r="I254" i="1"/>
  <c r="H254" i="1"/>
  <c r="I253" i="1"/>
  <c r="H253" i="1"/>
  <c r="I252" i="1"/>
  <c r="H252" i="1"/>
  <c r="I251" i="1"/>
  <c r="H251" i="1"/>
  <c r="H250" i="1"/>
  <c r="I250" i="1" s="1"/>
  <c r="H249" i="1"/>
  <c r="I249" i="1" s="1"/>
  <c r="I248" i="1"/>
  <c r="H248" i="1"/>
  <c r="I247" i="1"/>
  <c r="H247" i="1"/>
  <c r="I246" i="1"/>
  <c r="H246" i="1"/>
  <c r="I245" i="1"/>
  <c r="H245" i="1"/>
  <c r="H244" i="1"/>
  <c r="I244" i="1" s="1"/>
  <c r="H243" i="1"/>
  <c r="I243" i="1" s="1"/>
  <c r="I242" i="1"/>
  <c r="H242" i="1"/>
  <c r="I241" i="1"/>
  <c r="H241" i="1"/>
  <c r="I240" i="1"/>
  <c r="H240" i="1"/>
  <c r="I239" i="1"/>
  <c r="H239" i="1"/>
  <c r="H238" i="1"/>
  <c r="I238" i="1" s="1"/>
  <c r="H237" i="1"/>
  <c r="I237" i="1" s="1"/>
  <c r="I236" i="1"/>
  <c r="H236" i="1"/>
  <c r="I235" i="1"/>
  <c r="H235" i="1"/>
  <c r="I234" i="1"/>
  <c r="H234" i="1"/>
  <c r="I233" i="1"/>
  <c r="H233" i="1"/>
  <c r="H232" i="1"/>
  <c r="I232" i="1" s="1"/>
  <c r="H231" i="1"/>
  <c r="I231" i="1" s="1"/>
  <c r="I230" i="1"/>
  <c r="H230" i="1"/>
  <c r="I229" i="1"/>
  <c r="H229" i="1"/>
  <c r="I228" i="1"/>
  <c r="H228" i="1"/>
  <c r="I227" i="1"/>
  <c r="H227" i="1"/>
  <c r="H226" i="1"/>
  <c r="I226" i="1" s="1"/>
  <c r="H225" i="1"/>
  <c r="I225" i="1" s="1"/>
  <c r="I224" i="1"/>
  <c r="H224" i="1"/>
  <c r="I223" i="1"/>
  <c r="H223" i="1"/>
  <c r="I222" i="1"/>
  <c r="H222" i="1"/>
  <c r="I221" i="1"/>
  <c r="H221" i="1"/>
  <c r="H220" i="1"/>
  <c r="I220" i="1" s="1"/>
  <c r="H219" i="1"/>
  <c r="I219" i="1" s="1"/>
  <c r="H218" i="1"/>
  <c r="I218" i="1" s="1"/>
  <c r="I217" i="1"/>
  <c r="H217" i="1"/>
  <c r="I216" i="1"/>
  <c r="H216" i="1"/>
  <c r="I215" i="1"/>
  <c r="H215" i="1"/>
  <c r="H214" i="1"/>
  <c r="I214" i="1" s="1"/>
  <c r="H212" i="1"/>
  <c r="I212" i="1" s="1"/>
  <c r="H211" i="1"/>
  <c r="I211" i="1" s="1"/>
  <c r="I210" i="1"/>
  <c r="H210" i="1"/>
  <c r="I209" i="1"/>
  <c r="H209" i="1"/>
  <c r="I208" i="1"/>
  <c r="H208" i="1"/>
  <c r="H207" i="1"/>
  <c r="I207" i="1" s="1"/>
  <c r="H206" i="1"/>
  <c r="I206" i="1" s="1"/>
  <c r="H205" i="1"/>
  <c r="I205" i="1" s="1"/>
  <c r="I204" i="1"/>
  <c r="H204" i="1"/>
  <c r="I203" i="1"/>
  <c r="H203" i="1"/>
  <c r="I202" i="1"/>
  <c r="H202" i="1"/>
  <c r="H201" i="1"/>
  <c r="I201" i="1" s="1"/>
  <c r="H200" i="1"/>
  <c r="I200" i="1" s="1"/>
  <c r="H199" i="1"/>
  <c r="I199" i="1" s="1"/>
  <c r="I198" i="1"/>
  <c r="H198" i="1"/>
  <c r="I197" i="1"/>
  <c r="H197" i="1"/>
  <c r="I196" i="1"/>
  <c r="H196" i="1"/>
  <c r="H195" i="1"/>
  <c r="I195" i="1" s="1"/>
  <c r="H194" i="1"/>
  <c r="I194" i="1" s="1"/>
  <c r="H193" i="1"/>
  <c r="I193" i="1" s="1"/>
  <c r="I192" i="1"/>
  <c r="H192" i="1"/>
  <c r="I191" i="1"/>
  <c r="H191" i="1"/>
  <c r="I190" i="1"/>
  <c r="H190" i="1"/>
  <c r="H189" i="1"/>
  <c r="I189" i="1" s="1"/>
  <c r="H188" i="1"/>
  <c r="I188" i="1" s="1"/>
  <c r="H187" i="1"/>
  <c r="I187" i="1" s="1"/>
  <c r="I186" i="1"/>
  <c r="H186" i="1"/>
  <c r="I185" i="1"/>
  <c r="H185" i="1"/>
  <c r="I184" i="1"/>
  <c r="H184" i="1"/>
  <c r="H183" i="1"/>
  <c r="I183" i="1" s="1"/>
  <c r="H182" i="1"/>
  <c r="I182" i="1" s="1"/>
  <c r="H181" i="1"/>
  <c r="I181" i="1" s="1"/>
  <c r="I180" i="1"/>
  <c r="H180" i="1"/>
  <c r="I179" i="1"/>
  <c r="H179" i="1"/>
  <c r="I178" i="1"/>
  <c r="H178" i="1"/>
  <c r="H177" i="1"/>
  <c r="I177" i="1" s="1"/>
  <c r="H176" i="1"/>
  <c r="I176" i="1" s="1"/>
  <c r="I175" i="1"/>
  <c r="H174" i="1"/>
  <c r="I174" i="1" s="1"/>
  <c r="H173" i="1"/>
  <c r="I173" i="1" s="1"/>
  <c r="H172" i="1"/>
  <c r="I172" i="1" s="1"/>
  <c r="H171" i="1"/>
  <c r="I171" i="1" s="1"/>
  <c r="H170" i="1"/>
  <c r="I170" i="1" s="1"/>
  <c r="H169" i="1"/>
  <c r="I169" i="1" s="1"/>
  <c r="H168" i="1"/>
  <c r="I168" i="1" s="1"/>
  <c r="I167" i="1"/>
  <c r="H167" i="1"/>
  <c r="I166" i="1"/>
  <c r="H166" i="1"/>
  <c r="H165" i="1"/>
  <c r="I165" i="1" s="1"/>
  <c r="H164" i="1"/>
  <c r="I164" i="1" s="1"/>
  <c r="H163" i="1"/>
  <c r="I163" i="1" s="1"/>
  <c r="H162" i="1"/>
  <c r="I162" i="1" s="1"/>
  <c r="H161" i="1"/>
  <c r="I161" i="1" s="1"/>
  <c r="H160" i="1"/>
  <c r="I160" i="1" s="1"/>
  <c r="H159" i="1"/>
  <c r="I159" i="1" s="1"/>
  <c r="H158" i="1"/>
  <c r="I158" i="1" s="1"/>
  <c r="H157" i="1"/>
  <c r="I157" i="1" s="1"/>
  <c r="H156" i="1"/>
  <c r="I156" i="1" s="1"/>
  <c r="H155" i="1"/>
  <c r="I155" i="1" s="1"/>
  <c r="I154" i="1"/>
  <c r="H154" i="1"/>
  <c r="H153" i="1"/>
  <c r="I153" i="1" s="1"/>
  <c r="H152" i="1"/>
  <c r="I152" i="1" s="1"/>
  <c r="H151" i="1"/>
  <c r="I151" i="1" s="1"/>
  <c r="H150" i="1"/>
  <c r="I150" i="1" s="1"/>
  <c r="H149" i="1"/>
  <c r="I149" i="1" s="1"/>
  <c r="H148" i="1"/>
  <c r="I148" i="1" s="1"/>
  <c r="H147" i="1"/>
  <c r="I147" i="1" s="1"/>
  <c r="I146" i="1"/>
  <c r="H146" i="1"/>
  <c r="H145" i="1"/>
  <c r="I145" i="1" s="1"/>
  <c r="H144" i="1"/>
  <c r="I144" i="1" s="1"/>
  <c r="H143" i="1"/>
  <c r="I143" i="1" s="1"/>
  <c r="H142" i="1"/>
  <c r="I142" i="1" s="1"/>
  <c r="H141" i="1"/>
  <c r="I141" i="1" s="1"/>
  <c r="H140" i="1"/>
  <c r="I140" i="1" s="1"/>
  <c r="H139" i="1"/>
  <c r="I139" i="1" s="1"/>
  <c r="H138" i="1"/>
  <c r="I138" i="1" s="1"/>
  <c r="H137" i="1"/>
  <c r="I137" i="1" s="1"/>
  <c r="H136" i="1"/>
  <c r="I136" i="1" s="1"/>
  <c r="H135" i="1"/>
  <c r="I135" i="1" s="1"/>
  <c r="I134" i="1"/>
  <c r="H134" i="1"/>
  <c r="I133" i="1"/>
  <c r="H133" i="1"/>
  <c r="H132" i="1"/>
  <c r="I132" i="1" s="1"/>
  <c r="H131" i="1"/>
  <c r="I131" i="1" s="1"/>
  <c r="H130" i="1"/>
  <c r="I130" i="1" s="1"/>
  <c r="H129" i="1"/>
  <c r="I129" i="1" s="1"/>
  <c r="I128" i="1"/>
  <c r="H128" i="1"/>
  <c r="I127" i="1"/>
  <c r="H127" i="1"/>
  <c r="H126" i="1"/>
  <c r="I126" i="1" s="1"/>
  <c r="H125" i="1"/>
  <c r="I125" i="1" s="1"/>
  <c r="H124" i="1"/>
  <c r="I124" i="1" s="1"/>
  <c r="H123" i="1"/>
  <c r="I123" i="1" s="1"/>
  <c r="I122" i="1"/>
  <c r="H122" i="1"/>
  <c r="I121" i="1"/>
  <c r="H121" i="1"/>
  <c r="H120" i="1"/>
  <c r="I120" i="1" s="1"/>
  <c r="H119" i="1"/>
  <c r="I119" i="1" s="1"/>
  <c r="H118" i="1"/>
  <c r="I118" i="1" s="1"/>
  <c r="H117" i="1"/>
  <c r="I117" i="1" s="1"/>
  <c r="I116" i="1"/>
  <c r="H116" i="1"/>
  <c r="I115" i="1"/>
  <c r="H115" i="1"/>
  <c r="H114" i="1"/>
  <c r="I114" i="1" s="1"/>
  <c r="H113" i="1"/>
  <c r="I113" i="1" s="1"/>
  <c r="H112" i="1"/>
  <c r="I112" i="1" s="1"/>
  <c r="H111" i="1"/>
  <c r="I111" i="1" s="1"/>
  <c r="I110" i="1"/>
  <c r="H110" i="1"/>
  <c r="I109" i="1"/>
  <c r="H109" i="1"/>
  <c r="H108" i="1"/>
  <c r="I108" i="1" s="1"/>
  <c r="H107" i="1"/>
  <c r="I107" i="1" s="1"/>
  <c r="H106" i="1"/>
  <c r="I106" i="1" s="1"/>
  <c r="H105" i="1"/>
  <c r="I105" i="1" s="1"/>
  <c r="I104" i="1"/>
  <c r="H104" i="1"/>
  <c r="I103" i="1"/>
  <c r="H103" i="1"/>
  <c r="H102" i="1"/>
  <c r="I102" i="1" s="1"/>
  <c r="H101" i="1"/>
  <c r="I101" i="1" s="1"/>
  <c r="H100" i="1"/>
  <c r="I100" i="1" s="1"/>
  <c r="H99" i="1"/>
  <c r="I99" i="1" s="1"/>
  <c r="I98" i="1"/>
  <c r="H98" i="1"/>
  <c r="I97" i="1"/>
  <c r="H97" i="1"/>
  <c r="H96" i="1"/>
  <c r="I96" i="1" s="1"/>
  <c r="H95" i="1"/>
  <c r="I95" i="1" s="1"/>
  <c r="H94" i="1"/>
  <c r="I94" i="1" s="1"/>
  <c r="H93" i="1"/>
  <c r="I93" i="1" s="1"/>
  <c r="I92" i="1"/>
  <c r="H92" i="1"/>
  <c r="I91" i="1"/>
  <c r="H91" i="1"/>
  <c r="H90" i="1"/>
  <c r="I90" i="1" s="1"/>
  <c r="H89" i="1"/>
  <c r="I89" i="1" s="1"/>
  <c r="H88" i="1"/>
  <c r="I88" i="1" s="1"/>
  <c r="H87" i="1"/>
  <c r="I87" i="1" s="1"/>
  <c r="I86" i="1"/>
  <c r="H86" i="1"/>
  <c r="I85" i="1"/>
  <c r="H85" i="1"/>
  <c r="H84" i="1"/>
  <c r="I84" i="1" s="1"/>
  <c r="H83" i="1"/>
  <c r="I83" i="1" s="1"/>
  <c r="H82" i="1"/>
  <c r="I82" i="1" s="1"/>
  <c r="H81" i="1"/>
  <c r="I81" i="1" s="1"/>
  <c r="I80" i="1"/>
  <c r="H80" i="1"/>
  <c r="I79" i="1"/>
  <c r="H79" i="1"/>
  <c r="H78" i="1"/>
  <c r="I78" i="1" s="1"/>
  <c r="H77" i="1"/>
  <c r="I77" i="1" s="1"/>
  <c r="H76" i="1"/>
  <c r="I76" i="1" s="1"/>
  <c r="H75" i="1"/>
  <c r="I75" i="1" s="1"/>
  <c r="I74" i="1"/>
  <c r="H74" i="1"/>
  <c r="I73" i="1"/>
  <c r="H73" i="1"/>
  <c r="H72" i="1"/>
  <c r="I72" i="1" s="1"/>
  <c r="H71" i="1"/>
  <c r="I71" i="1" s="1"/>
  <c r="H70" i="1"/>
  <c r="I70" i="1" s="1"/>
  <c r="H69" i="1"/>
  <c r="I69" i="1" s="1"/>
  <c r="I68" i="1"/>
  <c r="H68" i="1"/>
  <c r="I67" i="1"/>
  <c r="H67" i="1"/>
  <c r="H66" i="1"/>
  <c r="I66" i="1" s="1"/>
  <c r="H65" i="1"/>
  <c r="I65" i="1" s="1"/>
  <c r="H64" i="1"/>
  <c r="I64" i="1" s="1"/>
  <c r="H63" i="1"/>
  <c r="I63" i="1" s="1"/>
  <c r="I62" i="1"/>
  <c r="H62" i="1"/>
  <c r="I61" i="1"/>
  <c r="H61" i="1"/>
  <c r="H60" i="1"/>
  <c r="I60" i="1" s="1"/>
  <c r="H59" i="1"/>
  <c r="I59" i="1" s="1"/>
  <c r="H58" i="1"/>
  <c r="I58" i="1" s="1"/>
  <c r="H57" i="1"/>
  <c r="I57" i="1" s="1"/>
  <c r="I56" i="1"/>
  <c r="H56" i="1"/>
  <c r="I55" i="1"/>
  <c r="H55" i="1"/>
  <c r="H54" i="1"/>
  <c r="I54" i="1" s="1"/>
  <c r="H53" i="1"/>
  <c r="I53" i="1" s="1"/>
  <c r="H52" i="1"/>
  <c r="I52" i="1" s="1"/>
  <c r="H51" i="1"/>
  <c r="I51" i="1" s="1"/>
  <c r="I50" i="1"/>
  <c r="H50" i="1"/>
  <c r="I49" i="1"/>
  <c r="H49" i="1"/>
  <c r="H48" i="1"/>
  <c r="I48" i="1" s="1"/>
  <c r="H47" i="1"/>
  <c r="I47" i="1" s="1"/>
  <c r="H46" i="1"/>
  <c r="I46" i="1" s="1"/>
  <c r="H45" i="1"/>
  <c r="I45" i="1" s="1"/>
  <c r="I44" i="1"/>
  <c r="H44" i="1"/>
  <c r="I43" i="1"/>
  <c r="H43" i="1"/>
  <c r="H42" i="1"/>
  <c r="I42" i="1" s="1"/>
  <c r="H41" i="1"/>
  <c r="I41" i="1" s="1"/>
  <c r="H40" i="1"/>
  <c r="I40" i="1" s="1"/>
  <c r="H39" i="1"/>
  <c r="I39" i="1" s="1"/>
  <c r="I38" i="1"/>
  <c r="H38" i="1"/>
  <c r="I37" i="1"/>
  <c r="H37" i="1"/>
  <c r="H36" i="1"/>
  <c r="I36" i="1" s="1"/>
  <c r="H35" i="1"/>
  <c r="I35" i="1" s="1"/>
  <c r="H34" i="1"/>
  <c r="I34" i="1" s="1"/>
  <c r="H33" i="1"/>
  <c r="I33" i="1" s="1"/>
  <c r="I32" i="1"/>
  <c r="H32" i="1"/>
  <c r="I31" i="1"/>
  <c r="H31" i="1"/>
  <c r="H30" i="1"/>
  <c r="I30" i="1" s="1"/>
  <c r="H29" i="1"/>
  <c r="I29" i="1" s="1"/>
  <c r="H28" i="1"/>
  <c r="I28" i="1" s="1"/>
  <c r="H27" i="1"/>
  <c r="I27" i="1" s="1"/>
  <c r="I26" i="1"/>
  <c r="H26" i="1"/>
  <c r="I25" i="1"/>
  <c r="H25" i="1"/>
  <c r="H24" i="1"/>
  <c r="I24" i="1" s="1"/>
  <c r="H23" i="1"/>
  <c r="I23" i="1" s="1"/>
  <c r="H22" i="1"/>
  <c r="I22" i="1" s="1"/>
  <c r="H21" i="1"/>
  <c r="I21" i="1" s="1"/>
  <c r="I20" i="1"/>
  <c r="H20" i="1"/>
  <c r="I19" i="1"/>
  <c r="H19" i="1"/>
  <c r="H18" i="1"/>
  <c r="I18" i="1" s="1"/>
  <c r="H17" i="1"/>
  <c r="I17" i="1" s="1"/>
  <c r="H16" i="1"/>
  <c r="I16" i="1" s="1"/>
  <c r="H15" i="1"/>
  <c r="I15" i="1" s="1"/>
  <c r="I14" i="1"/>
  <c r="H14" i="1"/>
  <c r="I13" i="1"/>
  <c r="H13" i="1"/>
  <c r="H12" i="1"/>
  <c r="I12" i="1" s="1"/>
  <c r="H11" i="1"/>
  <c r="I11" i="1" s="1"/>
  <c r="H10" i="1"/>
  <c r="I10" i="1" s="1"/>
  <c r="H9" i="1"/>
  <c r="I9" i="1" s="1"/>
  <c r="I8" i="1"/>
  <c r="H8" i="1"/>
  <c r="I7" i="1"/>
  <c r="H7" i="1"/>
  <c r="H6" i="1"/>
  <c r="I6" i="1" s="1"/>
  <c r="H5" i="1"/>
  <c r="I5" i="1" s="1"/>
  <c r="H4" i="1"/>
  <c r="I4" i="1" s="1"/>
  <c r="H3" i="1"/>
  <c r="I3" i="1" s="1"/>
</calcChain>
</file>

<file path=xl/sharedStrings.xml><?xml version="1.0" encoding="utf-8"?>
<sst xmlns="http://schemas.openxmlformats.org/spreadsheetml/2006/main" count="12621" uniqueCount="5586">
  <si>
    <t>ID</t>
  </si>
  <si>
    <t>姓名</t>
  </si>
  <si>
    <t>性别</t>
  </si>
  <si>
    <t>世代</t>
  </si>
  <si>
    <t>分堂</t>
  </si>
  <si>
    <t>父亲ID</t>
  </si>
  <si>
    <t>父亲姓名</t>
  </si>
  <si>
    <t>母亲ID</t>
  </si>
  <si>
    <t>母亲姓名</t>
  </si>
  <si>
    <t>居住地</t>
  </si>
  <si>
    <t>墓葬地</t>
  </si>
  <si>
    <t>寿命</t>
  </si>
  <si>
    <t>出生日期</t>
  </si>
  <si>
    <t>出生朝代</t>
  </si>
  <si>
    <t>出生干支</t>
  </si>
  <si>
    <t>生肖</t>
  </si>
  <si>
    <t>逝世日期</t>
  </si>
  <si>
    <t>逝世朝代</t>
  </si>
  <si>
    <t>逝世干支</t>
  </si>
  <si>
    <t>配偶ID</t>
  </si>
  <si>
    <t>配偶姓名</t>
  </si>
  <si>
    <t>女婿ID</t>
  </si>
  <si>
    <t>女婿姓名</t>
  </si>
  <si>
    <t>荣誉</t>
  </si>
  <si>
    <t>功名</t>
  </si>
  <si>
    <t>官职</t>
  </si>
  <si>
    <t>个人详情</t>
  </si>
  <si>
    <t>M000001</t>
  </si>
  <si>
    <t>公瑾</t>
  </si>
  <si>
    <t>男</t>
  </si>
  <si>
    <t>1</t>
  </si>
  <si>
    <t>中和堂</t>
  </si>
  <si>
    <t>吉州</t>
  </si>
  <si>
    <t>东西塘岗背大埝</t>
  </si>
  <si>
    <t>999.1.1</t>
  </si>
  <si>
    <t>北宋宋真宗咸平二年</t>
  </si>
  <si>
    <t>己亥年元月初一</t>
  </si>
  <si>
    <t>M000001W01</t>
  </si>
  <si>
    <t>王氏</t>
  </si>
  <si>
    <t>基祖</t>
  </si>
  <si>
    <t>怀远将军</t>
  </si>
  <si>
    <t>公瑾 字友瑜，宋大宗太平兴国元年秋八月，擒宋德明等，以功为江南兵铃吉洲驻扎，咸平二年葬吉州西峯寺侧，后改葬东西塘岗背大埝，申山寅向，以弓剑实塚，故号弓剑塚。配王氏，子二：继隆、必渭。_x000D_
（古庐陵的东西塘，各个罗家家谱考证都在目前吉安市吉州区的长塘镇、曲濑镇一带。作为“临清罗氏”的一世祖开基地，这一带不仅是罗氏家族的祖源地，也承载着吉安典型的“庐陵文化”和“耕读文化”。阳先注）</t>
  </si>
  <si>
    <t>M000002</t>
  </si>
  <si>
    <t>继隆</t>
  </si>
  <si>
    <t>2</t>
  </si>
  <si>
    <t>陕西泾源</t>
  </si>
  <si>
    <t>泾源节度使</t>
  </si>
  <si>
    <t>继隆 字幼成，宋真宗天僖元年，以江东都统奉命收宗歌鬼章，留屯陕西拜泾源节度使，遂居于彼。</t>
  </si>
  <si>
    <t>M000003</t>
  </si>
  <si>
    <t>必渭</t>
  </si>
  <si>
    <t>东西塘</t>
  </si>
  <si>
    <t>答田社山樟树下</t>
  </si>
  <si>
    <t>M000003W01</t>
  </si>
  <si>
    <t>必渭 字季哲，天圣二年（公元1024年），因父墓改葬东西塘，遂家于此。配王氏。葬答田社山樟树下。子一：一襄。</t>
  </si>
  <si>
    <t>M000004</t>
  </si>
  <si>
    <t>一襄</t>
  </si>
  <si>
    <t>3</t>
  </si>
  <si>
    <t>后园樟树下</t>
  </si>
  <si>
    <t>1072.1.1</t>
  </si>
  <si>
    <t>北宋宋神宗熙宁五年</t>
  </si>
  <si>
    <t>壬子年元月初一</t>
  </si>
  <si>
    <t>M000004W01,M000004W02</t>
  </si>
  <si>
    <t>王氏_x000D_
邬氏</t>
  </si>
  <si>
    <t xml:space="preserve">  一襄 字群谟，殁于熙宁五年，配王氏。葬后园樟树下。复配邬氏，子三：重荣、重美、重昌。</t>
  </si>
  <si>
    <t>M000005</t>
  </si>
  <si>
    <t>重荣</t>
  </si>
  <si>
    <t>4</t>
  </si>
  <si>
    <t>1095.1.1</t>
  </si>
  <si>
    <t>北宋宋哲宗绍圣二年</t>
  </si>
  <si>
    <t>乙亥年元月初一</t>
  </si>
  <si>
    <t>M000005W01,M000005W02,M000005W03</t>
  </si>
  <si>
    <t>王氏_x000D_
陈氏_x000D_
王氏</t>
  </si>
  <si>
    <t>重荣 字纯仁，殁绍圣二年。配王氏，葬王家山，艮山坤向；继配陈氏，葬小溪边；配王氏，葬南家门。子二：宗彦、宗固。</t>
  </si>
  <si>
    <t>M000006</t>
  </si>
  <si>
    <t>重美</t>
  </si>
  <si>
    <t>M000007</t>
  </si>
  <si>
    <t>重昌</t>
  </si>
  <si>
    <t>重昌 仍共居东西塘，其后俱未兴系。</t>
  </si>
  <si>
    <t>M000008</t>
  </si>
  <si>
    <t>宗彦</t>
  </si>
  <si>
    <t>5</t>
  </si>
  <si>
    <t>1122.1.1</t>
  </si>
  <si>
    <t>北宋宋徽宗宣和四年</t>
  </si>
  <si>
    <t>壬寅年元月初一</t>
  </si>
  <si>
    <t>M000008W01,M000008W02,M000008W03,M000008W04,M000008W05</t>
  </si>
  <si>
    <t>王氏_x000D_
刘氏_x000D_
王氏_x000D_
王氏_x000D_
欧阳氏</t>
  </si>
  <si>
    <t xml:space="preserve">字俊臣，殁宜和四年。元配王氏，葬河塘，艮山坤向；次配荷山刘氏，葬姑婆山东山申；三配王氏；四配王氏，葬东塘下；五配欧阳氏。子二：中成、中立。  </t>
  </si>
  <si>
    <t>M000009</t>
  </si>
  <si>
    <t>宗固</t>
  </si>
  <si>
    <t>宗固 仍居东西塘，其后未兴系。</t>
  </si>
  <si>
    <t>M000010</t>
  </si>
  <si>
    <t>中成</t>
  </si>
  <si>
    <t>6</t>
  </si>
  <si>
    <t>田南</t>
  </si>
  <si>
    <t>M000010W01</t>
  </si>
  <si>
    <t>彭氏</t>
  </si>
  <si>
    <t>字子美，殁葬田南，配丰塘彭氏。子三：惠迪，惠怀、惠民。</t>
  </si>
  <si>
    <t>M000011</t>
  </si>
  <si>
    <t>中立</t>
  </si>
  <si>
    <t>仍 居东西塘，其后未兴系。</t>
  </si>
  <si>
    <t>M000012</t>
  </si>
  <si>
    <t>惠迪</t>
  </si>
  <si>
    <t>7</t>
  </si>
  <si>
    <t>沙江</t>
  </si>
  <si>
    <t>82</t>
  </si>
  <si>
    <t>1104.1.1</t>
  </si>
  <si>
    <t>北宋宋徽宗崇宁三年</t>
  </si>
  <si>
    <t>甲申年元月初一</t>
  </si>
  <si>
    <t>猴</t>
  </si>
  <si>
    <t>1186.5.29</t>
  </si>
  <si>
    <t>南宋宋孝宗淳熙十三年</t>
  </si>
  <si>
    <t>丙午年五月廿九</t>
  </si>
  <si>
    <t>M000012W01,M000012W02</t>
  </si>
  <si>
    <t>王氏_x000D_
李氏</t>
  </si>
  <si>
    <t>迪功郎</t>
  </si>
  <si>
    <t>字长吉，甲辰庆典迪功郎致仕，寿八十，殁丙午年五月二十九日。配王氏，合葬沙江。续配彭田李氏，殁葬池墓。子二：世显、世修。（阳先注：南宋大文豪杨万里是吉水人，与惠迪公是同时代，杨的《長慶寺十八羅漢記 / 誠齋集》中就记载了惠迪公的事迹，而长庆寺旧址区域就在吉州区长塘镇附近，也是我罗氏家族集聚地东西塘的核心区域。在各种罗家家谱记载中，常录有在长庆寺相关的活动。迪功郎是一个虚衔，但也有资格做到主簿、尉、司户参军等类似的基层官职）</t>
  </si>
  <si>
    <t>M000013</t>
  </si>
  <si>
    <t>惠怀</t>
  </si>
  <si>
    <t>M000014</t>
  </si>
  <si>
    <t>惠民</t>
  </si>
  <si>
    <t>惠民 仍共居东西塘，其后俱未兴系。</t>
  </si>
  <si>
    <t>M000015</t>
  </si>
  <si>
    <t>世显</t>
  </si>
  <si>
    <t>8</t>
  </si>
  <si>
    <t>大田</t>
  </si>
  <si>
    <t>M000015W01</t>
  </si>
  <si>
    <t>世显 字周卿，殁葬大田，乙山辛向。配什乡王氏，子一：逢辰。</t>
  </si>
  <si>
    <t>M000016</t>
  </si>
  <si>
    <t>世修</t>
  </si>
  <si>
    <t>世修 仍君东西塘，其后未兴系。</t>
  </si>
  <si>
    <t>M000017</t>
  </si>
  <si>
    <t>逢辰</t>
  </si>
  <si>
    <t>9</t>
  </si>
  <si>
    <t>西村才坑</t>
  </si>
  <si>
    <t>1240.8.25</t>
  </si>
  <si>
    <t>南宋宋理宗嘉熙四年</t>
  </si>
  <si>
    <t>庚子年八月廿五</t>
  </si>
  <si>
    <t>M000017W01</t>
  </si>
  <si>
    <t>李氏</t>
  </si>
  <si>
    <t>逢辰 字梦良，殁庚子八月二十五日，葬西村才坑。配彭田李氏，子一：宏仁。</t>
  </si>
  <si>
    <t>M000018</t>
  </si>
  <si>
    <t>宏仁</t>
  </si>
  <si>
    <t>10</t>
  </si>
  <si>
    <t>M000018W01</t>
  </si>
  <si>
    <t>宏仁 字正己，配李氏。子四：浩然、涣然、渊然、沛然。</t>
  </si>
  <si>
    <t>M000019</t>
  </si>
  <si>
    <t>浩然</t>
  </si>
  <si>
    <t>11</t>
  </si>
  <si>
    <t>M000020</t>
  </si>
  <si>
    <t>涣然</t>
  </si>
  <si>
    <t>安福县前</t>
  </si>
  <si>
    <t>M000020W01</t>
  </si>
  <si>
    <t>安福基祖</t>
  </si>
  <si>
    <t>涣然 由庐陵儒行乡东西塘徙居安福县前，是为安福基祖。配彭氏，子二：七郎、廷珍。（阳先注：庐陵儒行乡东西塘，儒行乡就是目前的吉州区桐坪镇、长塘镇、固江镇一带，目前桐坪镇山头村委会楼下村皆为罗姓，谱名《万卷楼》，我父亲与该村罗建永有联系。该村最接近历史上的东西塘旧址。安福县城铁冶巷）</t>
  </si>
  <si>
    <t>M000021</t>
  </si>
  <si>
    <t>渊然</t>
  </si>
  <si>
    <t>安福</t>
  </si>
  <si>
    <t>M000022</t>
  </si>
  <si>
    <t>沛然</t>
  </si>
  <si>
    <t>M000023</t>
  </si>
  <si>
    <t>七郎</t>
  </si>
  <si>
    <t>12</t>
  </si>
  <si>
    <t>M000024</t>
  </si>
  <si>
    <t>廷珍</t>
  </si>
  <si>
    <t>德州</t>
  </si>
  <si>
    <t>53</t>
  </si>
  <si>
    <t>1241.1.1</t>
  </si>
  <si>
    <t>南宋宋理宗淳祐元年</t>
  </si>
  <si>
    <t>辛丑年元月初一</t>
  </si>
  <si>
    <t>牛</t>
  </si>
  <si>
    <t>1294.1.1</t>
  </si>
  <si>
    <t>元朝至元三十一年</t>
  </si>
  <si>
    <t>甲午年元月初一</t>
  </si>
  <si>
    <t>M000024W01</t>
  </si>
  <si>
    <t>刘氏</t>
  </si>
  <si>
    <t>生宋淳佑辛丑年，赘社州生宋淳佑辛丑年，赘社州刘氏，随外氏仕德州，殁元至元甲午年。子一：定。，随外氏仕德州，殁元至元甲午年。子一：定。</t>
  </si>
  <si>
    <t>M000025</t>
  </si>
  <si>
    <t>定</t>
  </si>
  <si>
    <t>13</t>
  </si>
  <si>
    <t>鱼形</t>
  </si>
  <si>
    <t>66</t>
  </si>
  <si>
    <t>1290.1.1</t>
  </si>
  <si>
    <t>元朝至元二十七年</t>
  </si>
  <si>
    <t>庚寅年元月初一</t>
  </si>
  <si>
    <t>虎</t>
  </si>
  <si>
    <t>1356.1.1</t>
  </si>
  <si>
    <t>元朝至正十六年</t>
  </si>
  <si>
    <t>丙申年元月初一</t>
  </si>
  <si>
    <t>M000025W01</t>
  </si>
  <si>
    <t>周氏</t>
  </si>
  <si>
    <t>生元至元庚寅年，殁至正丙申年，葬义历马凉丘鱼形壬子山丙午向。配泥田周氏，同葬鱼形。子一：原。</t>
  </si>
  <si>
    <t>M000026</t>
  </si>
  <si>
    <t>原</t>
  </si>
  <si>
    <t>14</t>
  </si>
  <si>
    <t>鹧湖</t>
  </si>
  <si>
    <t>荷叶盏金龟形</t>
  </si>
  <si>
    <t>42</t>
  </si>
  <si>
    <t>1334.1.1</t>
  </si>
  <si>
    <t>元朝元统二年</t>
  </si>
  <si>
    <t>甲戌年元月初一</t>
  </si>
  <si>
    <t>狗</t>
  </si>
  <si>
    <t>1376.1.1</t>
  </si>
  <si>
    <t>明朝洪武九年</t>
  </si>
  <si>
    <t>丙辰年元月初一</t>
  </si>
  <si>
    <t>M000026W01</t>
  </si>
  <si>
    <t>鹧湖基祖</t>
  </si>
  <si>
    <t>生元至统甲戌年，赘义历鹧湖彭氏，遂家于此，是为鹧湖基祖，殁明洪武丙辰（1376年），葬荷叶盏金龟形亥山，巽巳向。配彭氏，生元至元戊寅年，殁明永乐丙戌（1406年），附葬鹧湖金龟形右。子四：佰玉、孟邦、仲邦、季邦。(鹧湖：现竹江乡圳上村）</t>
  </si>
  <si>
    <t>M000027</t>
  </si>
  <si>
    <t>佰玉</t>
  </si>
  <si>
    <t>15</t>
  </si>
  <si>
    <t>M000028</t>
  </si>
  <si>
    <t>孟邦</t>
  </si>
  <si>
    <t>M000029</t>
  </si>
  <si>
    <t>仲邦</t>
  </si>
  <si>
    <t>M000029W01</t>
  </si>
  <si>
    <t>朱氏</t>
  </si>
  <si>
    <t>字继昌，配朱氏。子一：筮元。</t>
  </si>
  <si>
    <t>M000030</t>
  </si>
  <si>
    <t>季邦</t>
  </si>
  <si>
    <t>蒙岗山秀峰庵后狪形铃上穴</t>
  </si>
  <si>
    <t>86</t>
  </si>
  <si>
    <t>1375.10.1</t>
  </si>
  <si>
    <t>明朝洪武八年</t>
  </si>
  <si>
    <t>乙卯年十月初一</t>
  </si>
  <si>
    <t>兔</t>
  </si>
  <si>
    <t>1461.1.1</t>
  </si>
  <si>
    <t>明朝天顺五年</t>
  </si>
  <si>
    <t>辛巳年元月初一</t>
  </si>
  <si>
    <t>M000030W01,M000030W02</t>
  </si>
  <si>
    <t>戴氏_x000D_
熊氏</t>
  </si>
  <si>
    <t>季邦 字继仁，生明洪武乙卯（1375年）十月初一日，殁天顺辛巳（1461年），葬蒙岗山秀峰庵后狪形铃上穴卯乙山，西辛向。配书岗戴氏，生洪武戊午（1378年），殁永乐戊子（1408年），葬二都下田宝成寺后龟形癸丑山，丁未向。继配熊氏，无子，殁天顺戊寅（1458年），附葬戴氏之右。子二：明、斐佩。</t>
  </si>
  <si>
    <t>M000031</t>
  </si>
  <si>
    <t>筮元</t>
  </si>
  <si>
    <t>16</t>
  </si>
  <si>
    <t>高州</t>
  </si>
  <si>
    <t>凤形</t>
  </si>
  <si>
    <t>67</t>
  </si>
  <si>
    <t>1414.4.3</t>
  </si>
  <si>
    <t>明朝永乐十二年</t>
  </si>
  <si>
    <t>甲午年四月初三</t>
  </si>
  <si>
    <t>马</t>
  </si>
  <si>
    <t>1481.10.14</t>
  </si>
  <si>
    <t>明朝成化十七年</t>
  </si>
  <si>
    <t>辛丑年十月十四</t>
  </si>
  <si>
    <t>M000031W01</t>
  </si>
  <si>
    <t>陈氏</t>
  </si>
  <si>
    <t>_x000D_
高洲基祖</t>
  </si>
  <si>
    <t>邑庠生</t>
  </si>
  <si>
    <t>字料随、治易经、邑庠生。由东乡鹧湖，徙居南乡三十六都高州，是为高洲基祖。生永乐十二年甲午（1414年）四月初三日，殁成化十七年辛丑（1481年）十月十四日，葬本里板背沙巢凤形，癸山丁向。配枣树下陈氏，生明永乐丙申（1416年）年七月二十三日，殁成化八年壬辰（1472年）十一月初五日，同葬凤形。子二：斗珠、正珠。（阳先注：邑庠生就是县学生员（秀才），暂时没有找到筮元公的史料。）</t>
  </si>
  <si>
    <t>M000032</t>
  </si>
  <si>
    <t>明</t>
  </si>
  <si>
    <t>南京</t>
  </si>
  <si>
    <t>龟形</t>
  </si>
  <si>
    <t>84</t>
  </si>
  <si>
    <t>1401.11.24</t>
  </si>
  <si>
    <t>明朝建文三年</t>
  </si>
  <si>
    <t>辛巳年十一月廿四</t>
  </si>
  <si>
    <t>蛇</t>
  </si>
  <si>
    <t>1485.8.12</t>
  </si>
  <si>
    <t>明朝成化二十一年</t>
  </si>
  <si>
    <t>乙巳年八月十二</t>
  </si>
  <si>
    <t>M000032W01</t>
  </si>
  <si>
    <t>南京山东道监察御史(赠)</t>
  </si>
  <si>
    <t>字处约、号拙轩、以子贵，勅赠南京山东道监察御史，生明洪武辛巳（1401年）十一月二十四日，殁成化乙巳（1485年）八月十二日，葬北乡二都下田宝成寺后龟形，丑艮山未坤向。配冷溪王氏，以子贵，勅赠孺人，生永乐丙戌（1406年）十月十二日，殁宏治乙卯（1495年）五月初二日，同葬龟形。子一：善。（阳先注：勅赠南京山东道监察御史，这是一个官不大但权大的官职，勅赠表示儿子善公立了功劳，追封先父的官职）</t>
  </si>
  <si>
    <t>M000033</t>
  </si>
  <si>
    <t>斐佩</t>
  </si>
  <si>
    <t>子三，居鹧湖，世系未详。</t>
  </si>
  <si>
    <t>M000034</t>
  </si>
  <si>
    <t>斗珠</t>
  </si>
  <si>
    <t>17</t>
  </si>
  <si>
    <t>板背沙巢凤形</t>
  </si>
  <si>
    <t>1442.2.1</t>
  </si>
  <si>
    <t>明朝正统七年</t>
  </si>
  <si>
    <t>壬戌年二月初一</t>
  </si>
  <si>
    <t>M000034W01</t>
  </si>
  <si>
    <t>曾氏</t>
  </si>
  <si>
    <t>字显堂，生明正统七年壬戌（1442年）二月初一日，殁葬板背沙巢凤形。配曾氏，生明正统丙寅（1446年）三月初六日，殁葬凤形。子三：英、华、芬。</t>
  </si>
  <si>
    <t>M000035</t>
  </si>
  <si>
    <t>正珠</t>
  </si>
  <si>
    <t>本里板背沙巢凤形</t>
  </si>
  <si>
    <t>1445.2.3</t>
  </si>
  <si>
    <t>明朝正统十年</t>
  </si>
  <si>
    <t>乙丑年二月初三</t>
  </si>
  <si>
    <t>M000035W01</t>
  </si>
  <si>
    <t>字焕堂，生正统乙丑（1445年）二月初三日，殁。配刘氏，同葬本里板背沙巢凤形，癸山丁向。子一、芃。</t>
  </si>
  <si>
    <t>M000036</t>
  </si>
  <si>
    <t>善</t>
  </si>
  <si>
    <t>北乡</t>
  </si>
  <si>
    <t>义历鱼形</t>
  </si>
  <si>
    <t>92</t>
  </si>
  <si>
    <t>1449.8.5</t>
  </si>
  <si>
    <t>明朝正统十四年</t>
  </si>
  <si>
    <t>己巳年八月初五</t>
  </si>
  <si>
    <t>1541.10.8</t>
  </si>
  <si>
    <t>明朝嘉靖二十年</t>
  </si>
  <si>
    <t>辛丑年十月初八</t>
  </si>
  <si>
    <t>M000036W01</t>
  </si>
  <si>
    <t>史氏</t>
  </si>
  <si>
    <t>进士</t>
  </si>
  <si>
    <t>南京山东道监察御史; 福建按察佥事; 云南副使</t>
  </si>
  <si>
    <t>字复之、号克庵、治易经，中宏治己酉年乡试，己未中伦文叙榜进士，任南京山东道监察御史，升福建按察佥事、云南副使，乐恬退引疾乞致仕奉。诏进阶一级，生正统己巳（1449元）八月初五时，殁嘉靖辛丑（1541年）十月初八日，崇祀郡邑乡贤，葬义历鱼形，壬山丙向。配史氏，生己巳（1449年）三月初二日以夫贵，勅封孺人，殁嘉靖甲申（1524年）四月二十日，葬北乡二都宝成寺前大陂龙形乙辰山，辛戌向。子二：日谦、日让。_x000D_
（阳先注：这应当是我们祖上做官做的最大的，明朝中期弘治十二年，中伦文叙榜进士（殿试二甲第 15 名，赐进士出身），也就是说当年的状元是著名的伦文叙，这人是广东人引以为傲的状元，善公是进士。善公做过南京山东道监察御史、福建按察佥事（后任汀漳兵备佥事），进云南按察副使（四品），连他先父也被追封了官，还和刘瑾斗过。_x000D_
姓名：罗善_x000D_
字：复之_x000D_
号：克庵_x000D_
籍贯：江西吉安府安福县_x000D_
出身：治《易经》（科举专攻《周易》）_x000D_
生卒：甲戌年（1454 年）八月初五生，年九十余卒_x000D_
二、科举履历_x000D_
弘治二年己酉（1489 年）：中江西乡试（举人）_x000D_
弘治十二年己未（1499 年）：中伦文叙榜进士（殿试二甲第 15 名，赐进士出身）_x000D_
三、仕宦经历（与你所述一致）_x000D_
南京山东道监察御史_x000D_
任上以刚直、纠劾著称。_x000D_
升福建按察佥事（后任汀漳兵备佥事）_x000D_
时宦官刘瑾专权，地方官上任多入都谢恩，罗善独不往_x000D_
携二僮赴任，裁省供亿、整饬兵备、剿寇有功_x000D_
改陕西按察佥事_x000D_
刘瑾葬父于马嵬坡，百官致祭，罗善独不顾而去，瑾恨之未发而败_x000D_
进云南按察副使（兵备副使）_x000D_
当道连章举荐，但他淡于名利，引疾乞休_x000D_
致仕（退休）_x000D_
归乡后萧然一室、终日凝定_x000D_
每月朔望，率子孙讲《小学》、考论品行、惩戒不肖_x000D_
四、历史评价_x000D_
品行：性孝友、宽和博学，为官清廉刚正、不附权贵_x000D_
学术：深于《易》，为诸生时以孝弟廉耻教人_x000D_
结局：高寿九十余，以清德终，为安福罗氏名宦</t>
  </si>
  <si>
    <t>M000037</t>
  </si>
  <si>
    <t>芄</t>
  </si>
  <si>
    <t>18</t>
  </si>
  <si>
    <t>对门岭犬形</t>
  </si>
  <si>
    <t>M000037W01</t>
  </si>
  <si>
    <t>旷氏</t>
  </si>
  <si>
    <t>字景荣，配本里旷氏，同葬对门岭犬形。子一：迅。</t>
  </si>
  <si>
    <t>M000038</t>
  </si>
  <si>
    <t>日谦</t>
  </si>
  <si>
    <t>大陂龙形</t>
  </si>
  <si>
    <t>68</t>
  </si>
  <si>
    <t>1477.8.11</t>
  </si>
  <si>
    <t>明朝成化十三年</t>
  </si>
  <si>
    <t>丁酉年八月十一</t>
  </si>
  <si>
    <t>鸡</t>
  </si>
  <si>
    <t>1545.9.6</t>
  </si>
  <si>
    <t>明朝嘉靖二十四年</t>
  </si>
  <si>
    <t>乙巳年九月初六</t>
  </si>
  <si>
    <t>M000038W01</t>
  </si>
  <si>
    <t>郭氏</t>
  </si>
  <si>
    <t>贡生</t>
  </si>
  <si>
    <t>浙江桐乡县主簿</t>
  </si>
  <si>
    <t>字士亨、岁贡生，任浙江桐乡县主簿，生成化丁酉（1477年）八月十一日，殁嘉靖乙巳（1545年）九月初六日，葬枫田鲁石江边乌龟潭石榴峰莘夫公墓傍，乙山辛向。配塘东郭氏，生殁葬大陂龙形。子一：应真。</t>
  </si>
  <si>
    <t>M000039</t>
  </si>
  <si>
    <t>日让</t>
  </si>
  <si>
    <t>本里荷叶盏金龟形</t>
  </si>
  <si>
    <t>79</t>
  </si>
  <si>
    <t>1489.1.1</t>
  </si>
  <si>
    <t>明朝弘治二年</t>
  </si>
  <si>
    <t>己酉年元月初一</t>
  </si>
  <si>
    <t>1568.1.1</t>
  </si>
  <si>
    <t>明朝隆庆二年</t>
  </si>
  <si>
    <t>戊辰年元月初一</t>
  </si>
  <si>
    <t>M000039W01,M000039W02</t>
  </si>
  <si>
    <t>谢氏_x000D_
李氏</t>
  </si>
  <si>
    <t>补国学生</t>
  </si>
  <si>
    <t>福建水师营守备</t>
  </si>
  <si>
    <t>日让 字以实、号虚白、治易补国学生，任福建水师营守备。生宏治己酉（1489年）五月初九日，殁隆庆戊辰（1568年）十二月初三日，葬枫田石榴峯。配辛里谢氏，续配李氏，殁葬本里荷叶盏金龟形。</t>
  </si>
  <si>
    <t>M000040</t>
  </si>
  <si>
    <t>迅</t>
  </si>
  <si>
    <t>19</t>
  </si>
  <si>
    <t>M000040W01</t>
  </si>
  <si>
    <t>迅 配王氏。</t>
  </si>
  <si>
    <t>M000041</t>
  </si>
  <si>
    <t>应真</t>
  </si>
  <si>
    <t>庵坑里五雷闪电形</t>
  </si>
  <si>
    <t>M000041W01</t>
  </si>
  <si>
    <t>应真 配辛里谢氏，同葬庵坑里五雷闪电形。子一：宏道。</t>
  </si>
  <si>
    <t>M000042</t>
  </si>
  <si>
    <t>宏道</t>
  </si>
  <si>
    <t>20</t>
  </si>
  <si>
    <t>北乡大陂龙形</t>
  </si>
  <si>
    <t>M000042W01</t>
  </si>
  <si>
    <t>谢氏</t>
  </si>
  <si>
    <t xml:space="preserve">  宏道 邑庠生，殁葬北乡大陂龙形，配城田彭氏。</t>
  </si>
  <si>
    <t>M002036</t>
  </si>
  <si>
    <t>英</t>
  </si>
  <si>
    <t>明儒堂</t>
  </si>
  <si>
    <t>高洲</t>
  </si>
  <si>
    <t>人形中穴</t>
  </si>
  <si>
    <t>61</t>
  </si>
  <si>
    <t>1446.6.1</t>
  </si>
  <si>
    <t>明朝正统十一年</t>
  </si>
  <si>
    <t>丙寅年六月初一</t>
  </si>
  <si>
    <t>1507.5.5</t>
  </si>
  <si>
    <t>明朝正德二年</t>
  </si>
  <si>
    <t>丁卯年五月初五</t>
  </si>
  <si>
    <t>M002036W01</t>
  </si>
  <si>
    <t>明儒堂祖</t>
  </si>
  <si>
    <t>字符信、号崇实、房名明儒堂。生正统丙寅（1446年）六月初一日。殁正德丁卯（1507年）五月初五日。葬人形中穴，午山子向。配谢氏，生正统丁卯（1447年）七月初四日，殁宏治乙丑（1505年）二月十五日，葬人形中穴。子二：闵溪、闵鉴。</t>
  </si>
  <si>
    <t>M002037</t>
  </si>
  <si>
    <t>闵溪</t>
  </si>
  <si>
    <t>人形左边</t>
  </si>
  <si>
    <t>47</t>
  </si>
  <si>
    <t>1461.8.1</t>
  </si>
  <si>
    <t>辛巳年八月初一</t>
  </si>
  <si>
    <t>1508.2.24</t>
  </si>
  <si>
    <t>明朝正德三年</t>
  </si>
  <si>
    <t>戊辰年二月廿四</t>
  </si>
  <si>
    <t>M002037W01</t>
  </si>
  <si>
    <t>字文川。生天顺辛巳（1461年）八月初一日。殁正德戊辰（1508年）二月二十四日。葬人形左边，午山子向。配李氏，生天顺辛巳（1461年）二月初七日，殁正德壬申（1512年）十一月二十五日，葬沈源龟形后山虎形。子二：春峒、冬峒。</t>
  </si>
  <si>
    <t>M002038</t>
  </si>
  <si>
    <t>闵鉴</t>
  </si>
  <si>
    <t>1464.9.18</t>
  </si>
  <si>
    <t>明朝天顺八年</t>
  </si>
  <si>
    <t>甲申年九月十八</t>
  </si>
  <si>
    <t>M002038W01</t>
  </si>
  <si>
    <t>字文原。生天顺甲申（1464年）九月十八日。</t>
  </si>
  <si>
    <t>M002039</t>
  </si>
  <si>
    <t>春峒</t>
  </si>
  <si>
    <t>分水垇月形</t>
  </si>
  <si>
    <t>45</t>
  </si>
  <si>
    <t>1478.2.1</t>
  </si>
  <si>
    <t>明朝成化十四年</t>
  </si>
  <si>
    <t>戊戌年二月初一</t>
  </si>
  <si>
    <t>1523.7.15</t>
  </si>
  <si>
    <t>明朝嘉靖二年</t>
  </si>
  <si>
    <t>癸未年七月十五</t>
  </si>
  <si>
    <t>M002039W01</t>
  </si>
  <si>
    <t>字岁华。生成化戊戌（1478年）二月初一日。殁嘉靖未（1523年）七月十五日。葬分水垇月形。配旷氏，生成化庚子（1480年）六月十八日，殁嘉靖乙酉（1525年）十二月二十四日，葬人形。子一：国正。</t>
  </si>
  <si>
    <t>M002040</t>
  </si>
  <si>
    <t>冬峒</t>
  </si>
  <si>
    <t>46</t>
  </si>
  <si>
    <t>1480.8.2</t>
  </si>
  <si>
    <t>明朝成化十六年</t>
  </si>
  <si>
    <t>庚子年八月初二</t>
  </si>
  <si>
    <t>鼠</t>
  </si>
  <si>
    <t>1526.10.12</t>
  </si>
  <si>
    <t>明朝嘉靖五年</t>
  </si>
  <si>
    <t>丙戌年十月十二</t>
  </si>
  <si>
    <t>M002040W01</t>
  </si>
  <si>
    <t>字梅占。生成化庚子（1480年）八月初二日。殁嘉靖丙戌（1526年）十月十二日。葬分水垇月形。配王氏，生天顺壬午（1462年）三月十三日，殁成化辛丑（1481年）十二月十五日，葬人形上排左边。子一：一正。</t>
  </si>
  <si>
    <t>M002041</t>
  </si>
  <si>
    <t>国正</t>
  </si>
  <si>
    <t>21</t>
  </si>
  <si>
    <t>人形下手虎形</t>
  </si>
  <si>
    <t>75</t>
  </si>
  <si>
    <t>1494.11.24</t>
  </si>
  <si>
    <t>明朝弘治七年</t>
  </si>
  <si>
    <t>甲寅年十一月廿四</t>
  </si>
  <si>
    <t>1569.1.18</t>
  </si>
  <si>
    <t>明朝隆庆三年</t>
  </si>
  <si>
    <t>己巳年元月十八</t>
  </si>
  <si>
    <t>M002041W01</t>
  </si>
  <si>
    <t>颜氏</t>
  </si>
  <si>
    <t>字德泰，春峒公子。生宏治甲寅（1494年）十一月二十四日。殁隆庆己巳（1569年）正月十八日。配颜氏，生宏治乙卯（1495年）四月十八日，殁隆庆辛未（1571年）十二月初八，葬人形下手虎形。子一：才奕。</t>
  </si>
  <si>
    <t>M002042</t>
  </si>
  <si>
    <t>一正</t>
  </si>
  <si>
    <t>人形右边</t>
  </si>
  <si>
    <t>1497.7.14</t>
  </si>
  <si>
    <t>明朝弘治十年</t>
  </si>
  <si>
    <t>丁巳年七月十四</t>
  </si>
  <si>
    <t>1539.6.6</t>
  </si>
  <si>
    <t>明朝嘉靖十八年</t>
  </si>
  <si>
    <t>己亥年六月初六</t>
  </si>
  <si>
    <t>M002042W01</t>
  </si>
  <si>
    <t>会氏</t>
  </si>
  <si>
    <t>字郡泰，冬峒公子。生宏治丁巳（1497年）七月十四日。殁嘉靖己未（1559年）六月初六，葬人形右边。配会氏，生宏治庚申（1500年）十二月二十日，殁嘉靖乙丑（1565年）十一月十一日，葬人形第三牌。子二：才福、才庆。</t>
  </si>
  <si>
    <t>M000043</t>
  </si>
  <si>
    <t>才奕</t>
  </si>
  <si>
    <t>22</t>
  </si>
  <si>
    <t>人形中排右边</t>
  </si>
  <si>
    <t>1509.8.5</t>
  </si>
  <si>
    <t>明朝正德四年</t>
  </si>
  <si>
    <t>1593.11.25</t>
  </si>
  <si>
    <t>明朝万历二十一年</t>
  </si>
  <si>
    <t>癸巳年十一月廿五</t>
  </si>
  <si>
    <t>M000043W01</t>
  </si>
  <si>
    <t>贺氏</t>
  </si>
  <si>
    <t>字声扬。生正德己巳（1509年）八月初五。殁万历癸巳（1593年）十一月二十五日。配贺氏，生正德癸酉（1513年）十一月二十日，殁万历辛丑（1601年）正月初八，葬人形中排右边。子四：元亨、元足、味保、以煌。</t>
  </si>
  <si>
    <t>M000044</t>
  </si>
  <si>
    <t>才福</t>
  </si>
  <si>
    <t>人形中排</t>
  </si>
  <si>
    <t>54</t>
  </si>
  <si>
    <t>1511.4.2</t>
  </si>
  <si>
    <t>明朝正德六年</t>
  </si>
  <si>
    <t>辛未年四月初二</t>
  </si>
  <si>
    <t>羊</t>
  </si>
  <si>
    <t>1565.11.11</t>
  </si>
  <si>
    <t>明朝嘉靖四十四年</t>
  </si>
  <si>
    <t>乙丑年十一月十一</t>
  </si>
  <si>
    <t>M000044W01</t>
  </si>
  <si>
    <t>字锡我。生正德辛未（1511年）四月初二日。殁嘉靖乙丑（1529年）十一月十一日。配刘氏，生正德壬申（1512年）九月初九日，殁嘉靖丙寅（1566年）正月初二日，葬于人形中排。子一：守诚。</t>
  </si>
  <si>
    <t>M000045</t>
  </si>
  <si>
    <t>才庆</t>
  </si>
  <si>
    <t>车头屋右鱼形</t>
  </si>
  <si>
    <t>58</t>
  </si>
  <si>
    <t>1513.4.5</t>
  </si>
  <si>
    <t>明朝正德八年</t>
  </si>
  <si>
    <t>癸酉年四月初五</t>
  </si>
  <si>
    <t>1571.2.16</t>
  </si>
  <si>
    <t>明朝隆庆五年</t>
  </si>
  <si>
    <t>辛未年二月十六</t>
  </si>
  <si>
    <t>M000045W01</t>
  </si>
  <si>
    <t>字怀可。生正德癸酉（1513年）四月初五日。殁隆庆辛未（1571年）二月十六日。配刘氏，生正德丙子（1516年）七月初七日，殁隆庆庚午（1570年）十一月初一日，同葬车头屋右鱼形。子二：以能、以载。</t>
  </si>
  <si>
    <t>M000046</t>
  </si>
  <si>
    <t>元亨</t>
  </si>
  <si>
    <t>23</t>
  </si>
  <si>
    <t>M000046W01</t>
  </si>
  <si>
    <t>左氏</t>
  </si>
  <si>
    <t>字会轩。配左氏。</t>
  </si>
  <si>
    <t>M000047</t>
  </si>
  <si>
    <t>元足</t>
  </si>
  <si>
    <t>M000047W01</t>
  </si>
  <si>
    <t>甘氏</t>
  </si>
  <si>
    <t>设教长沙。配甘氏。</t>
  </si>
  <si>
    <t>M000048</t>
  </si>
  <si>
    <t>味保</t>
  </si>
  <si>
    <t>无记载。</t>
  </si>
  <si>
    <t>M000049</t>
  </si>
  <si>
    <t>以煌</t>
  </si>
  <si>
    <t>人形</t>
  </si>
  <si>
    <t>44</t>
  </si>
  <si>
    <t>1532.2.19</t>
  </si>
  <si>
    <t>明朝嘉靖十一年</t>
  </si>
  <si>
    <t>壬辰年二月十九</t>
  </si>
  <si>
    <t>龙</t>
  </si>
  <si>
    <t>1576.9.4</t>
  </si>
  <si>
    <t>明朝万历四年</t>
  </si>
  <si>
    <t>丙子年九月初四</t>
  </si>
  <si>
    <t>M000049W01</t>
  </si>
  <si>
    <t>字怀禄。生嘉靖壬辰（1532年）二月十九日。殁万历丙子（1576年）九月初四日，葬人形。配李氏，生嘉靖丙申（1536年）三月二十四日，殁万历丁亥（1587年）九月二十五日，葬分水垇月形。子二：思明、思顺。</t>
  </si>
  <si>
    <t>M000050</t>
  </si>
  <si>
    <t>守诚</t>
  </si>
  <si>
    <t>人形中牌</t>
  </si>
  <si>
    <t>64</t>
  </si>
  <si>
    <t>1555.12.2</t>
  </si>
  <si>
    <t>明朝嘉靖三十四年</t>
  </si>
  <si>
    <t>乙卯年十二月初二</t>
  </si>
  <si>
    <t>1619.7.5</t>
  </si>
  <si>
    <t>明朝万历四十七年</t>
  </si>
  <si>
    <t>己未年七月初五</t>
  </si>
  <si>
    <t>M000050W01,M000050W02</t>
  </si>
  <si>
    <t>郭方郭氏</t>
  </si>
  <si>
    <t>字西墀，博学宏才。生嘉靖乙卯（1555年）十二月初二日。殁万历己未（1619年）七月初五日，葬人形中牌。配郭方郭氏，生嘉靖乙丑（1565年）九月初七日，殁万历庚申（1620年）二月初二日，葬人形三牌。子四：孔义、孔礼、孔信、孔传。</t>
  </si>
  <si>
    <t>M000051</t>
  </si>
  <si>
    <t>以能</t>
  </si>
  <si>
    <t>62</t>
  </si>
  <si>
    <t>1525.1.15</t>
  </si>
  <si>
    <t>明朝嘉靖四年</t>
  </si>
  <si>
    <t>乙酉年元月十五</t>
  </si>
  <si>
    <t>1587.5.3</t>
  </si>
  <si>
    <t>明朝万历十五年</t>
  </si>
  <si>
    <t>丁亥年五月初三</t>
  </si>
  <si>
    <t>M000051W01</t>
  </si>
  <si>
    <t>字绍江。生嘉靖乙酉年正月十五日（1525年）。殁万历丁亥（1587年）五月初三日。配彭氏，生嘉靖丁亥（1527年）十二月十八日，殁万历丙申（1596年）十一月初四日，葬人形中牌。子二：孔仁、孔智。</t>
  </si>
  <si>
    <t>M000052</t>
  </si>
  <si>
    <t>以载</t>
  </si>
  <si>
    <t>M000052W01</t>
  </si>
  <si>
    <t>字星照。配王氏。子二：孔贵、孔荣。</t>
  </si>
  <si>
    <t>M000053</t>
  </si>
  <si>
    <t>思明</t>
  </si>
  <si>
    <t>24</t>
  </si>
  <si>
    <t>形右边</t>
  </si>
  <si>
    <t>殁葬形右边。</t>
  </si>
  <si>
    <t>M000054</t>
  </si>
  <si>
    <t>思顺</t>
  </si>
  <si>
    <t>殁葬人形。</t>
  </si>
  <si>
    <t>M000055</t>
  </si>
  <si>
    <t>孔义</t>
  </si>
  <si>
    <t>车头蠏形中牌</t>
  </si>
  <si>
    <t>41</t>
  </si>
  <si>
    <t>1582.12.28</t>
  </si>
  <si>
    <t>明朝万历十年</t>
  </si>
  <si>
    <t>壬午年十二月廿八</t>
  </si>
  <si>
    <t>1623.2.1</t>
  </si>
  <si>
    <t>明朝天启三年</t>
  </si>
  <si>
    <t>癸亥年二月初一</t>
  </si>
  <si>
    <t>M000055W01</t>
  </si>
  <si>
    <t>字少迟。生万历壬午（1582年）十二月二十八日。殁天启癸亥（1623年）二月初一日。配刘氏，生万历（1584年）甲申年四月初四日，殁天启丙寅（1626年）二月十八日，葬车头蠏形中牌。子二：启镇、启杯。</t>
  </si>
  <si>
    <t>M000056</t>
  </si>
  <si>
    <t>孔礼</t>
  </si>
  <si>
    <t>70</t>
  </si>
  <si>
    <t>1602.1.20</t>
  </si>
  <si>
    <t>明朝万历三十年</t>
  </si>
  <si>
    <t>壬寅年元月二十</t>
  </si>
  <si>
    <t>1672.9.7</t>
  </si>
  <si>
    <t>清朝康熙十一年</t>
  </si>
  <si>
    <t>壬子年九月初七</t>
  </si>
  <si>
    <t>M000056W01</t>
  </si>
  <si>
    <t>字海所。生万历壬寅（1602年）正月二十日。殁康熙壬子（1672年）九月初七日，葬人形右边。配刘氏，生万历乙亥（1575年）十月十一日，殁康熙甲子（1684年）八月初二日，葬人形上牌。子四：启钥、启铣、启东、启渠。</t>
  </si>
  <si>
    <t>M000057</t>
  </si>
  <si>
    <t>孔信</t>
  </si>
  <si>
    <t>M000057W01</t>
  </si>
  <si>
    <t>孟氏</t>
  </si>
  <si>
    <t>字南松。葬人形左边。配孟氏，葬车头蟹形。子三：启铉、启罐、启锦。</t>
  </si>
  <si>
    <t>M000058</t>
  </si>
  <si>
    <t>孔传</t>
  </si>
  <si>
    <t>人形第三排右边</t>
  </si>
  <si>
    <t>78</t>
  </si>
  <si>
    <t>1606.1.25</t>
  </si>
  <si>
    <t>明朝万历三十四年</t>
  </si>
  <si>
    <t>丙午年元月廿五</t>
  </si>
  <si>
    <t>1684.7.19</t>
  </si>
  <si>
    <t>清朝康熙二十三年</t>
  </si>
  <si>
    <t>甲子年七月十九</t>
  </si>
  <si>
    <t>M000058W01</t>
  </si>
  <si>
    <t>字华阳。生万历丙午（1606年）正月二十五日。殁康熙甲子（1684年）七月十九日，葬水南屋后人形第三牌右边。配本里鳌头刘氏，生万历乙巳（1605年）二月初二日，殁康熙乙亥（1695年）正月十八日，合葬人形第三排右边。子六：启栋、启梁、启松、启柏、启梅、启桂。</t>
  </si>
  <si>
    <t>M000059</t>
  </si>
  <si>
    <t>孔仁</t>
  </si>
  <si>
    <t>88</t>
  </si>
  <si>
    <t>1546.7.10</t>
  </si>
  <si>
    <t>明朝嘉靖二十五年</t>
  </si>
  <si>
    <t>丙午年七月初十</t>
  </si>
  <si>
    <t>1634.9.25</t>
  </si>
  <si>
    <t>明朝崇祯七年</t>
  </si>
  <si>
    <t>甲戌年九月廿五</t>
  </si>
  <si>
    <t>M000059W01,M000059W02</t>
  </si>
  <si>
    <t>萧氏、刘氏</t>
  </si>
  <si>
    <t>字既刚。生嘉靖丙午（1546年）七月初十日。殁崇祯甲戌（1634年）闰八月二十五日，葬人形。配萧氏，生：启镜。继配刘氏，生：启鉴。子二：启镜、启鉴。</t>
  </si>
  <si>
    <t>M000060</t>
  </si>
  <si>
    <t>孔智</t>
  </si>
  <si>
    <t>M000060W01</t>
  </si>
  <si>
    <t>字均可。配彭氏，徙居永新县十二都。</t>
  </si>
  <si>
    <t>M000061</t>
  </si>
  <si>
    <t>孔贵</t>
  </si>
  <si>
    <t>板櫈形左边</t>
  </si>
  <si>
    <t>1611.3.17</t>
  </si>
  <si>
    <t>明朝万历三十九年</t>
  </si>
  <si>
    <t>辛亥年三月十七</t>
  </si>
  <si>
    <t>猪</t>
  </si>
  <si>
    <t>1677.4.11</t>
  </si>
  <si>
    <t>清朝康熙十六年</t>
  </si>
  <si>
    <t>丁巳年四月十一</t>
  </si>
  <si>
    <t>M000061W01</t>
  </si>
  <si>
    <t>字密宇。生万历辛亥（1611年）三月十七日。殁康熙丁巳（1677年）四月十一日。配彭氏，生万历壬子（1612年）十月二十日，殁康熙乙丑（1685年）正月十五日，同葬板櫈形左边。</t>
  </si>
  <si>
    <t>M000062</t>
  </si>
  <si>
    <t>孔荣</t>
  </si>
  <si>
    <t>M000062W01</t>
  </si>
  <si>
    <t>萧氏</t>
  </si>
  <si>
    <t>字隆宇。配萧氏，徙居永新县十二都。</t>
  </si>
  <si>
    <t>M000063</t>
  </si>
  <si>
    <t>启镇</t>
  </si>
  <si>
    <t>25</t>
  </si>
  <si>
    <t>1605.11.27</t>
  </si>
  <si>
    <t>明朝万历三十三年</t>
  </si>
  <si>
    <t>乙巳年十一月廿七</t>
  </si>
  <si>
    <t>1689.7.11</t>
  </si>
  <si>
    <t>清朝康熙二十八年</t>
  </si>
  <si>
    <t>己巳年七月十一</t>
  </si>
  <si>
    <t>M000063W01,M000063W02</t>
  </si>
  <si>
    <t>刘氏_x000D_
萧氏</t>
  </si>
  <si>
    <t>字才斗。生万历乙巳（1605年）十一月二十七日。殁康熙己巳（1665年）七月十一日，葬人形中排。配刘氏，生万历丁未（1607年）六月初六日，殁康熙壬子（1672年）十月初十日，葬于炉山，下蟹中穴继。配萧氏。子四：兔保、湑保、霁保、哲保。</t>
  </si>
  <si>
    <t>M000064</t>
  </si>
  <si>
    <t>启杯</t>
  </si>
  <si>
    <t>板櫈形右边</t>
  </si>
  <si>
    <t>71</t>
  </si>
  <si>
    <t>1627.6.4</t>
  </si>
  <si>
    <t>清朝天聪元年</t>
  </si>
  <si>
    <t>丁卯年六月初四</t>
  </si>
  <si>
    <t>1698.7.10</t>
  </si>
  <si>
    <t>清朝康熙三十七年</t>
  </si>
  <si>
    <t>戊寅年七月初十</t>
  </si>
  <si>
    <t>M000064W01</t>
  </si>
  <si>
    <t>字秀斗。生天启丁卯（1627年）六月初四日。殁康熙戊寅（1698年）七月初十日。配王氏，生天启庚午（1630年）九月二十二日，殁康熙甲申（1704年）二月十八日，葬板櫈形右边。子二：雪保、玉保。</t>
  </si>
  <si>
    <t>M000065</t>
  </si>
  <si>
    <t>启钥</t>
  </si>
  <si>
    <t>高田蟹形</t>
  </si>
  <si>
    <t>M000065W01</t>
  </si>
  <si>
    <t>字秀明。葬高田蟹形。配刘氏，生天启丙寅（1626年）七月十三日，殁康熙庚申（1680年）九月十五日，葬嘉溪寸皆龙形。子四：涵瑞、涵玩、涵珂、涵瑗。</t>
  </si>
  <si>
    <t>M000066</t>
  </si>
  <si>
    <t>启铣</t>
  </si>
  <si>
    <t>1631.6.21</t>
  </si>
  <si>
    <t>明朝崇祯四年</t>
  </si>
  <si>
    <t>辛未年六月廿一</t>
  </si>
  <si>
    <t>1677.4.13</t>
  </si>
  <si>
    <t>丁巳年四月十三</t>
  </si>
  <si>
    <t>M000066W01</t>
  </si>
  <si>
    <t>高氏</t>
  </si>
  <si>
    <t>字玉明。生崇祯辛未（1631年）六月二十一日。殁康熙丁巳（1677年）四月十三日，葬板櫈形右边坤山艮向。配高氏。子四：涵瑜、涵珍、涵瑶、涵瑛。</t>
  </si>
  <si>
    <t>M000067</t>
  </si>
  <si>
    <t>启东</t>
  </si>
  <si>
    <t>M000067W01</t>
  </si>
  <si>
    <t>字扬明。配王氏，同葬人形。子四：涵珥、涵璋、涵珪、溪安。</t>
  </si>
  <si>
    <t>M000068</t>
  </si>
  <si>
    <t>启渠</t>
  </si>
  <si>
    <t>字无垢。</t>
  </si>
  <si>
    <t>M000069</t>
  </si>
  <si>
    <t>启铉</t>
  </si>
  <si>
    <t>M000069W01</t>
  </si>
  <si>
    <t>字秀我。配郭氏。子四：元珠、宝珠、金珠、玉珠。</t>
  </si>
  <si>
    <t>M000070</t>
  </si>
  <si>
    <t>启罐</t>
  </si>
  <si>
    <t>1627.9.29</t>
  </si>
  <si>
    <t>丁卯年九月廿九</t>
  </si>
  <si>
    <t>1693.3.19</t>
  </si>
  <si>
    <t>清朝康熙三十二年</t>
  </si>
  <si>
    <t>癸酉年三月十九</t>
  </si>
  <si>
    <t>M000070W01</t>
  </si>
  <si>
    <t>字秀和。生天启丁卯（1627年）九月二十九日。殁康熙癸酉（1693年）三月十九日，葬板櫈形右边。配孟氏，生天启五月二十五日，殁康熙甲戌（1694年）九月十三日，葬蟹形丁山癸向。子一：琼保。</t>
  </si>
  <si>
    <t>M000071</t>
  </si>
  <si>
    <t>启锦</t>
  </si>
  <si>
    <t>车头蟹形</t>
  </si>
  <si>
    <t>1629.11.4</t>
  </si>
  <si>
    <t>明朝崇祯二年</t>
  </si>
  <si>
    <t>己巳年十一月初四</t>
  </si>
  <si>
    <t>1673.12.24</t>
  </si>
  <si>
    <t>清朝康熙十二年</t>
  </si>
  <si>
    <t>癸丑年十二月廿四</t>
  </si>
  <si>
    <t>M000071W01</t>
  </si>
  <si>
    <t>字秀毓。生崇祯己巳（1629年）十一月初四日。殁康熙癸丑（1673年）十二月二十四日。配彭氏，生康熙辛未（1691年）九月初四日，殁乾隆甲申（1764年）八月二十四日，共葬车头蟹形。子二：如富、如贵。</t>
  </si>
  <si>
    <t>M000072</t>
  </si>
  <si>
    <t>启栋</t>
  </si>
  <si>
    <t>板背蜈蚣形下牌</t>
  </si>
  <si>
    <t>1624.11.1</t>
  </si>
  <si>
    <t>明朝天启四年</t>
  </si>
  <si>
    <t>甲子年十一月初一</t>
  </si>
  <si>
    <t>1685.1.15</t>
  </si>
  <si>
    <t>清朝康熙二十四年</t>
  </si>
  <si>
    <t>乙丑年元月十五</t>
  </si>
  <si>
    <t>M000072W01</t>
  </si>
  <si>
    <t>字秀玉，生平好善乐施。生天启甲子（1624年）十一月初一日。殁康熙乙丑（1685年）正月十五日，葬板背蜈蚣形下牌。配洋门王氏。子二：涵芸、涵苓。</t>
  </si>
  <si>
    <t>M000073</t>
  </si>
  <si>
    <t>启梁</t>
  </si>
  <si>
    <t>板櫈形山向</t>
  </si>
  <si>
    <t>52</t>
  </si>
  <si>
    <t>1628.8.7</t>
  </si>
  <si>
    <t>明朝崇祯元年</t>
  </si>
  <si>
    <t>戊辰年八月初七</t>
  </si>
  <si>
    <t>1680.2.17</t>
  </si>
  <si>
    <t>清朝康熙十九年</t>
  </si>
  <si>
    <t>庚申年二月十七</t>
  </si>
  <si>
    <t>M000073W01</t>
  </si>
  <si>
    <t>字秀洋。生崇祯戊辰（1628年）八月初七日。殁康熙庚申（1680年）二月十七日，葬板櫈形山向。配刘氏，生崇祯戊辰（1628年）七月十八日，殁康熙乙酉（1705年）三月初三日，葬门首高田龙形。子四：国俊、国佐、国傅、国傧。</t>
  </si>
  <si>
    <t>M000074</t>
  </si>
  <si>
    <t>启松</t>
  </si>
  <si>
    <t>上城田边重兴院后王背莹龙现抓形干山巽向</t>
  </si>
  <si>
    <t>69</t>
  </si>
  <si>
    <t>1632.1.21</t>
  </si>
  <si>
    <t>明朝崇祯五年</t>
  </si>
  <si>
    <t>壬申年元月廿一</t>
  </si>
  <si>
    <t>1701.1.26</t>
  </si>
  <si>
    <t>清朝康熙四十年</t>
  </si>
  <si>
    <t>辛巳年元月廿六</t>
  </si>
  <si>
    <t>M000074W01</t>
  </si>
  <si>
    <t>谭氏</t>
  </si>
  <si>
    <t>字玉声。生崇祯壬申（1632年）正月二十一日。殁康熙辛巳（1701年）正月二十六日，葬上城田边重兴院后王背莹龙现抓形干山巽向。配厚村谭氏，生崇祯己卯（1639年）二月十六日，安邑县尹龙泉干赠六旬扁额寿，乃德征殁康熙庚子（1720年）二月初三日，葬上城田边重兴院后黄龙现爪形。子二：源泾、源渭。</t>
  </si>
  <si>
    <t>M000075</t>
  </si>
  <si>
    <t>启柏</t>
  </si>
  <si>
    <t>M000075W01</t>
  </si>
  <si>
    <t>字英生。配刘氏，同葬人形。子一：涵清。</t>
  </si>
  <si>
    <t>M000076</t>
  </si>
  <si>
    <t>启梅</t>
  </si>
  <si>
    <t>板背蜈蚣形</t>
  </si>
  <si>
    <t>63</t>
  </si>
  <si>
    <t>1643.8.23</t>
  </si>
  <si>
    <t>清朝崇德八年</t>
  </si>
  <si>
    <t>癸未年八月廿三</t>
  </si>
  <si>
    <t>1706.10.23</t>
  </si>
  <si>
    <t>清朝康熙四十五年</t>
  </si>
  <si>
    <t>丙戌年十月廿三</t>
  </si>
  <si>
    <t>M000076W01</t>
  </si>
  <si>
    <t>字若白，博通经史，兼攻医学。生崇祯癸未（1643年）八月二十三日。殁康熙丙戌（1706年）十月二十三日，葬板背蜈蚣形。配萧氏，生顺治丙戌（1646年）十二月初一日，殁雍正己酉（1729年）六月二十三日，葬上城山背月形。子六：嘉让、嘉谋、嘉谌、嘉认、嘉诲、补衮。</t>
  </si>
  <si>
    <t>M000077</t>
  </si>
  <si>
    <t>启桂</t>
  </si>
  <si>
    <t>沈源蒙塘虎形</t>
  </si>
  <si>
    <t>43</t>
  </si>
  <si>
    <t>1646.10.13</t>
  </si>
  <si>
    <t>清朝顺治三年</t>
  </si>
  <si>
    <t>丙戌年十月十三</t>
  </si>
  <si>
    <t>1689.1.13</t>
  </si>
  <si>
    <t>己巳年元月十三</t>
  </si>
  <si>
    <t>M000077W01</t>
  </si>
  <si>
    <t>唐氏</t>
  </si>
  <si>
    <t>字应拔。生顺治丙戌（1646年）十月十三日。殁康熙己丑（1709年）正月十三日，葬沈源蒙塘虎形。配唐氏，生顺治乙酉（1645年）闰六月二十五日，殁康熙壬午（1702年）四月十六日，葬人形下排右边。子三：愈珠、国志、任珠。</t>
  </si>
  <si>
    <t>M000078</t>
  </si>
  <si>
    <t>启镜</t>
  </si>
  <si>
    <t>1629.11.20</t>
  </si>
  <si>
    <t>己巳年十一月二十</t>
  </si>
  <si>
    <t>1704.12.24</t>
  </si>
  <si>
    <t>清朝康熙四十三年</t>
  </si>
  <si>
    <t>甲申年十二月廿四</t>
  </si>
  <si>
    <t>M000078W01</t>
  </si>
  <si>
    <t>字秀迟。生崇祯己巳（1629年）十一月二十日。殁康熙甲申（1704年）十二月二十四日，葬车头蟹形。配刘氏，生崇祯辛未（1631年）九月初四日，殁康熙甲申（1704年）八月二十四日。</t>
  </si>
  <si>
    <t>M000079</t>
  </si>
  <si>
    <t>启鉴</t>
  </si>
  <si>
    <t>M000079W01</t>
  </si>
  <si>
    <t>字秀方。配刘氏。</t>
  </si>
  <si>
    <t>M000080</t>
  </si>
  <si>
    <t>兔保</t>
  </si>
  <si>
    <t>26</t>
  </si>
  <si>
    <t>字文选，徙居周源。</t>
  </si>
  <si>
    <t>M000081</t>
  </si>
  <si>
    <t>湑保</t>
  </si>
  <si>
    <t>新源太坪</t>
  </si>
  <si>
    <t>1663.9.30</t>
  </si>
  <si>
    <t>清朝康熙二年</t>
  </si>
  <si>
    <t>癸卯年九月三十</t>
  </si>
  <si>
    <t>1731.9.1</t>
  </si>
  <si>
    <t>清朝雍正九年</t>
  </si>
  <si>
    <t>辛亥年九月初一</t>
  </si>
  <si>
    <t>M000081W01</t>
  </si>
  <si>
    <t>字翔偶。生康熙癸卯（1663年）九月三十日。殁雍正辛亥（1731年）九月一日，葬新源太坪。配刘氏。子一：攀桂。</t>
  </si>
  <si>
    <t>M000082</t>
  </si>
  <si>
    <t>霁保</t>
  </si>
  <si>
    <t>M000082W01</t>
  </si>
  <si>
    <t>某氏</t>
  </si>
  <si>
    <t>字翔汉。配某氏。子：天志。</t>
  </si>
  <si>
    <t>M000083</t>
  </si>
  <si>
    <t>哲保</t>
  </si>
  <si>
    <t>M000083W01</t>
  </si>
  <si>
    <t>字翔吉。配刘氏，生康熙丁巳（1677年）十月十三日。殁乾隆丙寅（1746年）九月十七日。子一：天相。</t>
  </si>
  <si>
    <t>M000084</t>
  </si>
  <si>
    <t>雪保</t>
  </si>
  <si>
    <t>车头蟹形上牌</t>
  </si>
  <si>
    <t>1667.12.13</t>
  </si>
  <si>
    <t>清朝康熙六年</t>
  </si>
  <si>
    <t>丁未年十二月十三</t>
  </si>
  <si>
    <t>1708.12.24</t>
  </si>
  <si>
    <t>清朝康熙四十七年</t>
  </si>
  <si>
    <t>戊子年十二月廿四</t>
  </si>
  <si>
    <t>M000084W01</t>
  </si>
  <si>
    <t>字协偕行名国颂。生康熙丁未（1667年）十二月十三日。殁康熙戊子（1708年）十二月二十四日，葬车头蟹形上牌。配陈氏。子三：景溪、景伦、景三。</t>
  </si>
  <si>
    <t>M000085</t>
  </si>
  <si>
    <t>玉保</t>
  </si>
  <si>
    <t>M000086</t>
  </si>
  <si>
    <t>涵瑞</t>
  </si>
  <si>
    <t>1653.10.7</t>
  </si>
  <si>
    <t>清朝顺治十年</t>
  </si>
  <si>
    <t>癸巳年十月初七</t>
  </si>
  <si>
    <t>1720.3.17</t>
  </si>
  <si>
    <t>清朝康熙五十九年</t>
  </si>
  <si>
    <t>庚子年三月十七</t>
  </si>
  <si>
    <t>M000086W01</t>
  </si>
  <si>
    <t>字伟友。生顺治癸巳（1653年）十月七日。殁康熙庚子（1720年）三月十七日，葬高田蟹形。配刘氏，生顺治戊戌（1658年）九月初九日，葬加溪村背龟形。子三：光纲、光续、光络。</t>
  </si>
  <si>
    <t>M000087</t>
  </si>
  <si>
    <t>涵玩</t>
  </si>
  <si>
    <t>字璠偶，设教广西。</t>
  </si>
  <si>
    <t>M000088</t>
  </si>
  <si>
    <t>涵珂</t>
  </si>
  <si>
    <t>对门岭虎形</t>
  </si>
  <si>
    <t>1653.10.21</t>
  </si>
  <si>
    <t>癸巳年十月廿一</t>
  </si>
  <si>
    <t>1720.11.9</t>
  </si>
  <si>
    <t>庚子年十一月初九</t>
  </si>
  <si>
    <t>M000088W01</t>
  </si>
  <si>
    <t>字则远。生顺治癸巳（1653年）十月二十一日。殁康熙庚子（1720年）十一月初九日，葬对门岭虎形。配刘氏。子一：光弼。</t>
  </si>
  <si>
    <t>M000089</t>
  </si>
  <si>
    <t>涵瑗</t>
  </si>
  <si>
    <t>M000089W01</t>
  </si>
  <si>
    <t>字连友。配刘氏，出商。</t>
  </si>
  <si>
    <t>M000090</t>
  </si>
  <si>
    <t>涵瑜</t>
  </si>
  <si>
    <t>水南板櫈形</t>
  </si>
  <si>
    <t>48</t>
  </si>
  <si>
    <t>1718.7.11</t>
  </si>
  <si>
    <t>清朝康熙五十七年</t>
  </si>
  <si>
    <t>戊戌年七月十一</t>
  </si>
  <si>
    <t>1766.12.24</t>
  </si>
  <si>
    <t>清朝乾隆三十一年</t>
  </si>
  <si>
    <t>丙戌年十二月廿四</t>
  </si>
  <si>
    <t>M000090W01</t>
  </si>
  <si>
    <t>陆氏</t>
  </si>
  <si>
    <t>字德友。生康熙戊戌（1718年）七月十一日。殁干乾隆丙戌（1766年）十二月二十四日，葬水南板櫈形。配陆氏，生康熙戊申（1668年）九月二十五日，殁干乾隆己巳（1749年）六月初三日，葬高田蟹形。子二：光绳、光缉。</t>
  </si>
  <si>
    <t>M000091</t>
  </si>
  <si>
    <t>涵珍</t>
  </si>
  <si>
    <t>M000091W01</t>
  </si>
  <si>
    <t>字贤渭。配左氏。子一：其康。</t>
  </si>
  <si>
    <t>M000092</t>
  </si>
  <si>
    <t>涵瑶</t>
  </si>
  <si>
    <t>M000092W01</t>
  </si>
  <si>
    <t>字贯友。配左氏。子一：燕章。</t>
  </si>
  <si>
    <t>M000093</t>
  </si>
  <si>
    <t>涵瑛</t>
  </si>
  <si>
    <t>M000093W01</t>
  </si>
  <si>
    <t>字异石。配陈氏，生康熙庚申（1683年）十月十三日。殁乾隆丙辰（1736年）四月十五日，葬高田蟹形辛山乙向。子二：光继、光绩。</t>
  </si>
  <si>
    <t>M000094</t>
  </si>
  <si>
    <t>涵珥</t>
  </si>
  <si>
    <t>字庆友，设教广西。</t>
  </si>
  <si>
    <t>M000095</t>
  </si>
  <si>
    <t>涵璋</t>
  </si>
  <si>
    <t>字锡如，云南大姚县立籍。</t>
  </si>
  <si>
    <t>M000096</t>
  </si>
  <si>
    <t>涵珪</t>
  </si>
  <si>
    <t>字宛矣。</t>
  </si>
  <si>
    <t>M000097</t>
  </si>
  <si>
    <t>溪安</t>
  </si>
  <si>
    <t>M000098</t>
  </si>
  <si>
    <t>元珠</t>
  </si>
  <si>
    <t>34</t>
  </si>
  <si>
    <t>1643.10.10</t>
  </si>
  <si>
    <t>癸未年十月初十</t>
  </si>
  <si>
    <t>1677.9.6</t>
  </si>
  <si>
    <t>丁巳年九月初六</t>
  </si>
  <si>
    <t>M000098W01</t>
  </si>
  <si>
    <t>字文质，更字君瑞。生崇祯癸未（1643年）十月十日。殁康熙丁巳（1677年）九月初六日，葬车头蟹形。配刘氏。子三：锡宠、锡赞、通泓。</t>
  </si>
  <si>
    <t>M000099</t>
  </si>
  <si>
    <t>金珠</t>
  </si>
  <si>
    <t>香炉山脚下</t>
  </si>
  <si>
    <t>28</t>
  </si>
  <si>
    <t>1648.7.24</t>
  </si>
  <si>
    <t>清朝顺治五年</t>
  </si>
  <si>
    <t>戊子年七月廿四</t>
  </si>
  <si>
    <t>1676.11.14</t>
  </si>
  <si>
    <t>清朝康熙十五年</t>
  </si>
  <si>
    <t>丙辰年十一月十四</t>
  </si>
  <si>
    <t>M000099W01</t>
  </si>
  <si>
    <t>字文贤，更字君珍。生顺治戊子（1648年）七月二十四日。殁康熙丙辰（1676年）十一月十四日，葬香炉山脚下。配刘氏。子一：锡类。</t>
  </si>
  <si>
    <t>M000100</t>
  </si>
  <si>
    <t>玉珠</t>
  </si>
  <si>
    <t>M000100W01</t>
  </si>
  <si>
    <t>肖氏</t>
  </si>
  <si>
    <t>字协仲，更字国瑶。配肖氏。子三：鼎松、鼎龄、鼎三。</t>
  </si>
  <si>
    <t>M000101</t>
  </si>
  <si>
    <t>琼保</t>
  </si>
  <si>
    <t>59</t>
  </si>
  <si>
    <t>1635.4.10</t>
  </si>
  <si>
    <t>明朝崇祯八年</t>
  </si>
  <si>
    <t>乙亥年四月初十</t>
  </si>
  <si>
    <t>1694.7.21</t>
  </si>
  <si>
    <t>清朝康熙三十三年</t>
  </si>
  <si>
    <t>甲戌年七月廿一</t>
  </si>
  <si>
    <t>M000101W01</t>
  </si>
  <si>
    <t>字绿野。生崇祯乙亥（1635年）四月初十日。殁康熙甲戌（1694年）七月二十一日，葬水南板櫈形。配刘氏，生顺治乙未（1655年）十二月二十六日，殁雍正癸卯（1735年）五月二十七日，葬乌泥塘虎形坤艮向。子四：鼎泰、鼎福、湘、鼎禄、鼎礼。</t>
  </si>
  <si>
    <t>M000102</t>
  </si>
  <si>
    <t>如富</t>
  </si>
  <si>
    <t>1713.9.11</t>
  </si>
  <si>
    <t>清朝康熙五十二年</t>
  </si>
  <si>
    <t>癸巳年九月十一</t>
  </si>
  <si>
    <t>1735.3.15</t>
  </si>
  <si>
    <t>清朝雍正十三年</t>
  </si>
  <si>
    <t>乙卯年三月十五</t>
  </si>
  <si>
    <t>M000102W01</t>
  </si>
  <si>
    <t>字三岐。生康熙癸巳（1713年）九月十一日。殁雍正乙卯（1735年）三月十五日。配肖氏。</t>
  </si>
  <si>
    <t>M000103</t>
  </si>
  <si>
    <t>如贵</t>
  </si>
  <si>
    <t>水南人形下首虎形</t>
  </si>
  <si>
    <t>1674.4.8</t>
  </si>
  <si>
    <t>清朝康熙十三年</t>
  </si>
  <si>
    <t>甲寅年四月初八</t>
  </si>
  <si>
    <t>1744.9.26</t>
  </si>
  <si>
    <t>清朝乾隆九年</t>
  </si>
  <si>
    <t>甲子年九月廿六</t>
  </si>
  <si>
    <t>M000103W01</t>
  </si>
  <si>
    <t>字三偶。生康熙甲寅（1674年）四月八日。殁干隆甲子（1744年）九月二十六日。配彭氏，生康熙壬申（1692年）八月二十五日，殁乾隆癸未（1763年）四月初三日，葬于水南人形下首虎形。子一：鼎和。</t>
  </si>
  <si>
    <t>M000104</t>
  </si>
  <si>
    <t>涵芸</t>
  </si>
  <si>
    <t>嘉溪龙形中排右</t>
  </si>
  <si>
    <t>M000104W01</t>
  </si>
  <si>
    <t>字文奇。配颜氏，生顺治壬辰（1652年）六月十二日。殁雍正甲寅（1734年）九月二十七日，葬嘉溪龙形中排右丁癸向。子五：光迈、光元、光达、光迩、光远。</t>
  </si>
  <si>
    <t>M000105</t>
  </si>
  <si>
    <t>涵苓</t>
  </si>
  <si>
    <t>十七都龙形下牌</t>
  </si>
  <si>
    <t>1652.11.7</t>
  </si>
  <si>
    <t>清朝顺治九年</t>
  </si>
  <si>
    <t>壬辰年十一月初七</t>
  </si>
  <si>
    <t>1720.8.9</t>
  </si>
  <si>
    <t>庚子年八月初九</t>
  </si>
  <si>
    <t>M000105W01</t>
  </si>
  <si>
    <t>字文美，博学鸿儒。生顺治壬辰（1652年）十一月初七日。殁康熙庚子（1720年）八月九日，葬十七都龙形下牌。配王氏，生顺汉治己亥（1659年）四月七日，殁乾隆庚申（1740年）九月初六日，葬本里香炉山人形坤山艮向。子三：光统、光绥、光辉。</t>
  </si>
  <si>
    <t>M000106</t>
  </si>
  <si>
    <t>国俊</t>
  </si>
  <si>
    <t>M000106W01</t>
  </si>
  <si>
    <t>字文耀。配刘氏。子一：锡元。</t>
  </si>
  <si>
    <t>M000107</t>
  </si>
  <si>
    <t>国傅</t>
  </si>
  <si>
    <t>短龙仓田弦上</t>
  </si>
  <si>
    <t>1657.8.25</t>
  </si>
  <si>
    <t>清朝顺治十四年</t>
  </si>
  <si>
    <t>丁酉年八月廿五</t>
  </si>
  <si>
    <t>M000107W01</t>
  </si>
  <si>
    <t>杨氏</t>
  </si>
  <si>
    <t>字宝斐。生顺治丁酉（1657年）八月二十五日。殁葬短龙仓田弦上。配杨氏，生康熙甲辰（1664年）正月二十日，殁雍正乙卯（1735年）十月十二日，葬香炉山蟹形坤艮向。子一：光建。</t>
  </si>
  <si>
    <t>M000108</t>
  </si>
  <si>
    <t>国佐</t>
  </si>
  <si>
    <t>M000108W01</t>
  </si>
  <si>
    <t>字尔厚。配刘氏，葬大祠后。子二：光迟、光建（出继国傅后）。</t>
  </si>
  <si>
    <t>M000109</t>
  </si>
  <si>
    <t>国傧</t>
  </si>
  <si>
    <t>香炉山人形</t>
  </si>
  <si>
    <t>M000109W01</t>
  </si>
  <si>
    <t>项氏</t>
  </si>
  <si>
    <t>字达远。配项氏，生康熙癸亥（1683年）六月初四日。殁乾隆癸酉（1753年）十二月初五日葬香炉山人形。子一：光绸。</t>
  </si>
  <si>
    <t>M000110</t>
  </si>
  <si>
    <t>源泾</t>
  </si>
  <si>
    <t>三十五都田边王背莹龙形下牌中穴</t>
  </si>
  <si>
    <t>83</t>
  </si>
  <si>
    <t>1666.8.17</t>
  </si>
  <si>
    <t>清朝康熙五年</t>
  </si>
  <si>
    <t>丙午年八月十七</t>
  </si>
  <si>
    <t>1749.12.15</t>
  </si>
  <si>
    <t>清朝乾隆十四年</t>
  </si>
  <si>
    <t>己巳年十二月十五</t>
  </si>
  <si>
    <t>M000110W01</t>
  </si>
  <si>
    <t>字特先，乾隆乙丑汤溪县令张进赠以八旬寿扁凿遇者英。生康熙丙午（1666年）八月十七日。殁乾隆己巳（1749年）十二月十五日，葬三十五都田边王背莹龙形下牌中穴。配李氏，生康熙甲辰（1664年）九月初四日，殁乾隆戊午（1738年）十一月初五日，葬田边龙形上牌右。子四：光缙、光缨、光绨、光绅。</t>
  </si>
  <si>
    <t>M000111</t>
  </si>
  <si>
    <t>源渭</t>
  </si>
  <si>
    <t>生兴院王背莹龙形第一排中穴</t>
  </si>
  <si>
    <t>1680.1.14</t>
  </si>
  <si>
    <t>庚申年元月十四</t>
  </si>
  <si>
    <t>1758.11.5</t>
  </si>
  <si>
    <t>清朝乾隆二十三年</t>
  </si>
  <si>
    <t>戊寅年十一月初五</t>
  </si>
  <si>
    <t>M000111W01</t>
  </si>
  <si>
    <t>张氏</t>
  </si>
  <si>
    <t>字仿杜。生康熙庚申（1683年）正月十四日。殁乾隆戊午（1738年）十一月初五日，附葬生兴院王背莹龙形第一排中穴。配张氏，生康熙癸亥（1683年）正月十四日，殁乾隆辛巳（1761）九月二十日，葬槎江后山虎形。子一：光绣。</t>
  </si>
  <si>
    <t>M000112</t>
  </si>
  <si>
    <t>涵清</t>
  </si>
  <si>
    <t>水南屋后人形中牌</t>
  </si>
  <si>
    <t>1664.1.26</t>
  </si>
  <si>
    <t>清朝康熙三年</t>
  </si>
  <si>
    <t>甲辰年元月廿六</t>
  </si>
  <si>
    <t>1710.4.6</t>
  </si>
  <si>
    <t>清朝康熙四十九年</t>
  </si>
  <si>
    <t>庚寅年四月初六</t>
  </si>
  <si>
    <t>M000112W01</t>
  </si>
  <si>
    <t>徙居草堂，字卓然。生康熙甲辰（1664年）正月二十六日。殁康熙庚寅（1710年）四月六日，葬水南屋后人形中牌癸丁向。配肖氏，生康熙己巳（1665年）二月十七日，殁雍正乙巳（1725年）十月十三日，葬草堂上沙岭龙形中穴干巽何。子一：桂绥。</t>
  </si>
  <si>
    <t>M000113</t>
  </si>
  <si>
    <t>嘉让</t>
  </si>
  <si>
    <t>香炉山蟹形上牌</t>
  </si>
  <si>
    <t>1666.4.18</t>
  </si>
  <si>
    <t>丙午年四月十八</t>
  </si>
  <si>
    <t>1713.5.17</t>
  </si>
  <si>
    <t>癸巳年五月十七</t>
  </si>
  <si>
    <t>字克绍。生康熙丙午（1666年）四月十八日。殁雍正乙巳（1713年）五月十七日，殁乾隆壬戌（1742年）二月二十日，九仝葬香炉山蟹形上牌。子一：辉山。</t>
  </si>
  <si>
    <t>M000114</t>
  </si>
  <si>
    <t>嘉谋</t>
  </si>
  <si>
    <t>门首松树下中排</t>
  </si>
  <si>
    <t>1669.3.15</t>
  </si>
  <si>
    <t>清朝康熙八年</t>
  </si>
  <si>
    <t>己酉年三月十五</t>
  </si>
  <si>
    <t>1716.9.8</t>
  </si>
  <si>
    <t>清朝康熙五十五年</t>
  </si>
  <si>
    <t>丙申年九月初八</t>
  </si>
  <si>
    <t>M000114W01</t>
  </si>
  <si>
    <t>字卓尔、业儒。生康熙己酉（1669年）三月十五日。殁康熙丙申（1716年）九月初八，葬门首松树下中排。配刘氏，生康熙乙卯三月十八日，殁乾隆丁巳（1737年）闰九月十九日，葬香炉山蟹形。子二：光综、光兴。</t>
  </si>
  <si>
    <t>M000115</t>
  </si>
  <si>
    <t>嘉谌</t>
  </si>
  <si>
    <t>香炉山蟹形</t>
  </si>
  <si>
    <t>1671.3.1</t>
  </si>
  <si>
    <t>清朝康熙十年</t>
  </si>
  <si>
    <t>辛亥年三月初一</t>
  </si>
  <si>
    <t>1729.10.1</t>
  </si>
  <si>
    <t>清朝雍正七年</t>
  </si>
  <si>
    <t>己酉年十月初一</t>
  </si>
  <si>
    <t>M000115W01</t>
  </si>
  <si>
    <t>字孙绍。生康熙辛亥（1671年）三月初一日。殁雍正己酉（1729年）十月初一日；殁嵩明洲。配刘氏，生康熙丙寅（1686年）正月初五，殁乾隆庚辰（1760年）五月十六日，葬香炉山蟹形。子一：光绶。</t>
  </si>
  <si>
    <t>M000116</t>
  </si>
  <si>
    <t>补衮</t>
  </si>
  <si>
    <t>香炉山人形前排</t>
  </si>
  <si>
    <t>1676.1.4</t>
  </si>
  <si>
    <t>丙辰年元月初四</t>
  </si>
  <si>
    <t>1745.1.16</t>
  </si>
  <si>
    <t>清朝乾隆十年</t>
  </si>
  <si>
    <t>乙丑年元月十六</t>
  </si>
  <si>
    <t>M000116W01</t>
  </si>
  <si>
    <t>郡廪生</t>
  </si>
  <si>
    <t>字度偕、号山甫，郡廪生习五经，博学宏才，着南游稿行世。生康熙丙辰（1676年）正月初四。殁乾隆乙丑（1745年）正月十六日。配刘氏，生康熙乙丑（1685年）七月十四日，殁乾隆甲申（1764年）正月二十三日，同葬香炉山人形前排坤艮向。子四：光纶、光缮、光经、光缃。</t>
  </si>
  <si>
    <t>M000117</t>
  </si>
  <si>
    <t>嘉认</t>
  </si>
  <si>
    <t>北斗人形下排</t>
  </si>
  <si>
    <t>1681.1.10</t>
  </si>
  <si>
    <t>清朝康熙二十年</t>
  </si>
  <si>
    <t>辛酉年元月初十</t>
  </si>
  <si>
    <t>1752.2.14</t>
  </si>
  <si>
    <t>清朝乾隆十七年</t>
  </si>
  <si>
    <t>壬申年二月十四</t>
  </si>
  <si>
    <t>M000117W01</t>
  </si>
  <si>
    <t>字思厚。生康熙辛酉（1681年）正月初十日。殁乾隆壬申（1752年）二月十四日，仝葬北斗人形下排。子一：光纪。</t>
  </si>
  <si>
    <t>M000118</t>
  </si>
  <si>
    <t>嘉诲</t>
  </si>
  <si>
    <t>北斗人形</t>
  </si>
  <si>
    <t>1688.5.3</t>
  </si>
  <si>
    <t>清朝康熙二十七年</t>
  </si>
  <si>
    <t>戊辰年五月初三</t>
  </si>
  <si>
    <t>1754.3.8</t>
  </si>
  <si>
    <t>清朝乾隆十九年</t>
  </si>
  <si>
    <t>甲戌年三月初八</t>
  </si>
  <si>
    <t>M000118W01,M000118W02</t>
  </si>
  <si>
    <t>廖氏,刘氏</t>
  </si>
  <si>
    <t>字崇偕儒医傅济世。生康熙戊辰（1688年）五月三日。殁乾隆甲戌（1754年）三月初八日，葬于北斗人形。配廖氏，生康熙乙亥（1695年）十月十八日，殁康熙甲午（1714年）元月二十二日，葬门首虎形。继配刘氏。子一：光绂。</t>
  </si>
  <si>
    <t>M000119</t>
  </si>
  <si>
    <t>愈珠</t>
  </si>
  <si>
    <t>嘉溪龙塘背龙形</t>
  </si>
  <si>
    <t>49</t>
  </si>
  <si>
    <t>1666.12.10</t>
  </si>
  <si>
    <t>丙午年十二月初十</t>
  </si>
  <si>
    <t>1715.2.9</t>
  </si>
  <si>
    <t>清朝康熙五十四年</t>
  </si>
  <si>
    <t>乙未年二月初九</t>
  </si>
  <si>
    <t>M000119W01</t>
  </si>
  <si>
    <t>字云隆。生康熙丙午（1666年）十二月初十日。殁康熙乙未（1715年）二月初九。配李氏，生康熙丙午（1666年）五月初八，六十寿进士郭橦赠扁宝婺光辉，殁乾隆戊午（1738年）十月十六日，葬嘉溪龙塘背龙形。子三：光絧、光绪、源观。</t>
  </si>
  <si>
    <t>M000120</t>
  </si>
  <si>
    <t>国志</t>
  </si>
  <si>
    <t>下沈源奄左虎形</t>
  </si>
  <si>
    <t>1673.4.1</t>
  </si>
  <si>
    <t>癸丑年四月初一</t>
  </si>
  <si>
    <t>1735.8.9</t>
  </si>
  <si>
    <t>乙卯年八月初九</t>
  </si>
  <si>
    <t>M000120W01</t>
  </si>
  <si>
    <t>字云法。生康熙癸丑（1673年）四月初一。殁雍正乙卯（1735年）八月初九。出商配刘氏，生康熙乙亥（1695年）六月二十九日，殁乾隆壬午（1762年）九月初五，葬下沈源奄左虎形。子一：金玉。</t>
  </si>
  <si>
    <t>M000121</t>
  </si>
  <si>
    <t>任珠</t>
  </si>
  <si>
    <t>下地沈源墓上象形右边</t>
  </si>
  <si>
    <t>32</t>
  </si>
  <si>
    <t>1680.4.1</t>
  </si>
  <si>
    <t>庚申年四月初一</t>
  </si>
  <si>
    <t>1712.6.16</t>
  </si>
  <si>
    <t>清朝康熙五十一年</t>
  </si>
  <si>
    <t>壬辰年六月十六</t>
  </si>
  <si>
    <t>M000121W01</t>
  </si>
  <si>
    <t>字云沛。生康熙庚申（1680年）四月初一。殁康熙壬辰（1712年）六月十六日，葬下地沈源墓上象形右边。配某氏。</t>
  </si>
  <si>
    <t>M000122</t>
  </si>
  <si>
    <t>攀桂</t>
  </si>
  <si>
    <t>27</t>
  </si>
  <si>
    <t>1702.1.15</t>
  </si>
  <si>
    <t>清朝康熙四十一年</t>
  </si>
  <si>
    <t>壬午年元月十五</t>
  </si>
  <si>
    <t>1724.8.11</t>
  </si>
  <si>
    <t>清朝雍正二年</t>
  </si>
  <si>
    <t>甲辰年八月十一</t>
  </si>
  <si>
    <t>生康熙壬午（1702年）正月十五日。殁雍正甲辰（1724年）八月十一日。</t>
  </si>
  <si>
    <t>M000123</t>
  </si>
  <si>
    <t>天志</t>
  </si>
  <si>
    <t>1690.4.12</t>
  </si>
  <si>
    <t>清朝康熙二十九年</t>
  </si>
  <si>
    <t>庚午年四月十二</t>
  </si>
  <si>
    <t>1765.8.29</t>
  </si>
  <si>
    <t>清朝乾隆三十年</t>
  </si>
  <si>
    <t>乙酉年八月廿九</t>
  </si>
  <si>
    <t>M000123W01</t>
  </si>
  <si>
    <t>字俊能。生康熙庚午（1690年）四月十二。殁乾隆乙酉（1765年）八月二十九日。配肖氏。子二：禄保。</t>
  </si>
  <si>
    <t>M000124</t>
  </si>
  <si>
    <t>天相</t>
  </si>
  <si>
    <t>字能安。</t>
  </si>
  <si>
    <t>M000125</t>
  </si>
  <si>
    <t>景溪</t>
  </si>
  <si>
    <t>M000126</t>
  </si>
  <si>
    <t>景伦</t>
  </si>
  <si>
    <t>配氏。</t>
  </si>
  <si>
    <t>M000127</t>
  </si>
  <si>
    <t>景三</t>
  </si>
  <si>
    <t>M000128</t>
  </si>
  <si>
    <t>光纲</t>
  </si>
  <si>
    <t>1676.9.20</t>
  </si>
  <si>
    <t>丙辰年九月二十</t>
  </si>
  <si>
    <t>1724.1.2</t>
  </si>
  <si>
    <t>甲辰年元月初二</t>
  </si>
  <si>
    <t>M000128W01</t>
  </si>
  <si>
    <t>字黎庸。生康熙丙辰（1676年）九月二十日。殁雍正甲辰正月初二。配唐方彭氏，生康熙庚申（1680年）七月十九日，殁乾隆乙酉（1765年）闰二月初八日，同葬高田蟹形。子四：新禧、蒲元、守贶、景福。（阳先注:原文"1784年正月初二"，估计是纪录错误，应当是“雍正甲辰1724年”，48岁，比较合理，特更正）</t>
  </si>
  <si>
    <t>M000129</t>
  </si>
  <si>
    <t>光续</t>
  </si>
  <si>
    <t>77</t>
  </si>
  <si>
    <t>1679.11.16</t>
  </si>
  <si>
    <t>清朝康熙十八年</t>
  </si>
  <si>
    <t>己未年十一月十六</t>
  </si>
  <si>
    <t>1756.1.7</t>
  </si>
  <si>
    <t>清朝乾隆二十一年</t>
  </si>
  <si>
    <t>丙子年元月初七</t>
  </si>
  <si>
    <t>M000129W01,M000129W02</t>
  </si>
  <si>
    <t>刘氏_x000D_
刘氏</t>
  </si>
  <si>
    <t>字汝庸。生康熙己未（1675年）十一月十六日。殁乾隆丙子（1756年）初七，葬香炉山人形。配刘氏，葬加溪龟形，子一：宣鹤。继配刘氏，生康熙乙亥（1695年）十一月三十日，殁乾隆己丑（1769年）十二月十八日，葬香炉山脚下。</t>
  </si>
  <si>
    <t>M000130</t>
  </si>
  <si>
    <t>光络</t>
  </si>
  <si>
    <t>字三阳，早殁。</t>
  </si>
  <si>
    <t>M000131</t>
  </si>
  <si>
    <t>光弼</t>
  </si>
  <si>
    <t>香炉山</t>
  </si>
  <si>
    <t>M000131W01</t>
  </si>
  <si>
    <t>字荔方，葬香炉山。配陈氏。</t>
  </si>
  <si>
    <t>M000132</t>
  </si>
  <si>
    <t>光绳</t>
  </si>
  <si>
    <t>1702.1.10</t>
  </si>
  <si>
    <t>壬午年元月初十</t>
  </si>
  <si>
    <t>M000132W01</t>
  </si>
  <si>
    <t>字兰花。生康熙壬午（1702年）正月初十日。配刘氏。</t>
  </si>
  <si>
    <t>M000133</t>
  </si>
  <si>
    <t>光缉</t>
  </si>
  <si>
    <t>字俊桃。</t>
  </si>
  <si>
    <t>M000134</t>
  </si>
  <si>
    <t>其康</t>
  </si>
  <si>
    <t>M000135</t>
  </si>
  <si>
    <t>燕章</t>
  </si>
  <si>
    <t>M000136</t>
  </si>
  <si>
    <t>光继</t>
  </si>
  <si>
    <t>1704.1.4</t>
  </si>
  <si>
    <t>甲申年元月初四</t>
  </si>
  <si>
    <t>1753.7.13</t>
  </si>
  <si>
    <t>清朝乾隆十八年</t>
  </si>
  <si>
    <t>癸酉年七月十三</t>
  </si>
  <si>
    <t>M000136W01</t>
  </si>
  <si>
    <t>字学庸。生康熙甲申（1704年）正月初四。殁乾隆癸酉（1753年）七月十三日，葬高田蟹形。配刘氏，葬香炉山。子一：宗照。</t>
  </si>
  <si>
    <t>M000137</t>
  </si>
  <si>
    <t>光绩</t>
  </si>
  <si>
    <t>1706.9.29</t>
  </si>
  <si>
    <t>丙戌年九月廿九</t>
  </si>
  <si>
    <t>1784.8.1</t>
  </si>
  <si>
    <t>清朝乾隆四十九年</t>
  </si>
  <si>
    <t>甲辰年八月初一</t>
  </si>
  <si>
    <t>M000137W01</t>
  </si>
  <si>
    <t>字能庸。生康熙丙戌（1706年）九月二十九日。殁乾隆甲辰（1784年）八月初一。配陈氏，生康熙戊戌（1718年）十月二十三日，殁乾隆已未（1755年）三月二十六日，仝葬香炉山，辛山乙向。子二：宗烈、宗干。</t>
  </si>
  <si>
    <t>M000138</t>
  </si>
  <si>
    <t>锡宠</t>
  </si>
  <si>
    <t>M000138W01</t>
  </si>
  <si>
    <t>字蓬达，葬车头蟹形。配肖氏，葬前溪广坵屋后。子一：庆福。</t>
  </si>
  <si>
    <t>M000139</t>
  </si>
  <si>
    <t>锡赞</t>
  </si>
  <si>
    <t>香炉山脚下蟹形上牌后</t>
  </si>
  <si>
    <t>1668.9.27</t>
  </si>
  <si>
    <t>清朝康熙七年</t>
  </si>
  <si>
    <t>戊申年九月廿七</t>
  </si>
  <si>
    <t>1729.2.23</t>
  </si>
  <si>
    <t>己酉年二月廿三</t>
  </si>
  <si>
    <t>M000139W01</t>
  </si>
  <si>
    <t>字汉章。生康熙戊申（1668年）九月二十七日。殁雍正己酉（1729年）二月二十三日，葬香炉山脚下蟹形上牌后。配刘氏。子一：庆寿。（阳先注:原文是康熙己酉年二月二十三日，只有一岁，还娶妻生子，明显错误，更正为雍正己酉年即合理）</t>
  </si>
  <si>
    <t>M000140</t>
  </si>
  <si>
    <t>通泓</t>
  </si>
  <si>
    <t>字云石。</t>
  </si>
  <si>
    <t>M000141</t>
  </si>
  <si>
    <t>锡类</t>
  </si>
  <si>
    <t>M000141W01</t>
  </si>
  <si>
    <t>字粲章。配刘氏。子一：庆卓。</t>
  </si>
  <si>
    <t>M000142</t>
  </si>
  <si>
    <t>鼎松</t>
  </si>
  <si>
    <t>M000142W01</t>
  </si>
  <si>
    <t>字顺章。配肖氏。子一：长福。</t>
  </si>
  <si>
    <t>M000143</t>
  </si>
  <si>
    <t>鼎龄</t>
  </si>
  <si>
    <t>字春堂。</t>
  </si>
  <si>
    <t>M000144</t>
  </si>
  <si>
    <t>鼎三</t>
  </si>
  <si>
    <t>字三阳早殁。</t>
  </si>
  <si>
    <t>M000145</t>
  </si>
  <si>
    <t>鼎泰</t>
  </si>
  <si>
    <t>M000145W01</t>
  </si>
  <si>
    <t>廖氏</t>
  </si>
  <si>
    <t>字右章。配廖氏。子一：庆春。</t>
  </si>
  <si>
    <t>M000146</t>
  </si>
  <si>
    <t>鼎福</t>
  </si>
  <si>
    <t>M000146W01</t>
  </si>
  <si>
    <t>字粲兮，云南。配刘氏。子一：庆夏。</t>
  </si>
  <si>
    <t>M000147</t>
  </si>
  <si>
    <t>鼎禄</t>
  </si>
  <si>
    <t>北斗人形坤民间</t>
  </si>
  <si>
    <t>73</t>
  </si>
  <si>
    <t>1693.12.13</t>
  </si>
  <si>
    <t>癸酉年十二月十三</t>
  </si>
  <si>
    <t>1766.4.22</t>
  </si>
  <si>
    <t>丙戌年四月廿二</t>
  </si>
  <si>
    <t>M000147W01</t>
  </si>
  <si>
    <t>黄氏</t>
  </si>
  <si>
    <t>字灿山。生康熙癸酉（1693年）十二月十三日。殁乾隆丙戌（1766年）四月二十二日。配黄氏，生康熙已酉（1669年）九月初四，殁乾隆壬寅（1782年）六月初六日，合葬北斗人形坤民间。子二：庆积、庆宗。</t>
  </si>
  <si>
    <t>M000148</t>
  </si>
  <si>
    <t>鼎礼</t>
  </si>
  <si>
    <t>M000149</t>
  </si>
  <si>
    <t>鼎和</t>
  </si>
  <si>
    <t>水南人形右午子间</t>
  </si>
  <si>
    <t>60</t>
  </si>
  <si>
    <t>1717.11.24</t>
  </si>
  <si>
    <t>清朝康熙五十六年</t>
  </si>
  <si>
    <t>丁酉年十一月廿四</t>
  </si>
  <si>
    <t>1777.7.10</t>
  </si>
  <si>
    <t>清朝乾隆四十二年</t>
  </si>
  <si>
    <t>丁酉年七月初十</t>
  </si>
  <si>
    <t>M000149W01</t>
  </si>
  <si>
    <t>字奉章。生康熙丁酉（1717年）十一月二十四日。殁乾隆丁酉（1717年）七月初十，葬水南人形右午子间。配刘氏。子一：长生。</t>
  </si>
  <si>
    <t>M000150</t>
  </si>
  <si>
    <t>光迈</t>
  </si>
  <si>
    <t>1672.9.11</t>
  </si>
  <si>
    <t>壬子年九月十一</t>
  </si>
  <si>
    <t>1735.5.14</t>
  </si>
  <si>
    <t>乙卯年五月十四</t>
  </si>
  <si>
    <t>M000150W01</t>
  </si>
  <si>
    <t>字菊芳。生康熙壬子（1672年）九月十一日。殁雍正乙卯（1735年）五月十四日，葬香炉山丁癸向。配杨氏，生康熙庚申（1680年）三月二十四日，殁乾隆戊午（1738年）三月初三，葬香炉山龙形巽干向。子一：继宗。</t>
  </si>
  <si>
    <t>M000151</t>
  </si>
  <si>
    <t>光元</t>
  </si>
  <si>
    <t>水南屋后龙形</t>
  </si>
  <si>
    <t>50</t>
  </si>
  <si>
    <t>1684.1.25</t>
  </si>
  <si>
    <t>甲子年元月廿五</t>
  </si>
  <si>
    <t>1734.4.26</t>
  </si>
  <si>
    <t>清朝雍正十二年</t>
  </si>
  <si>
    <t>甲寅年四月廿六</t>
  </si>
  <si>
    <t>M000151W01</t>
  </si>
  <si>
    <t>字菊焕。配周氏，生康熙甲子（1684年）二十五，殁雍正甲寅（1734年）四月二十六日，葬于水南屋后龙形辛山乙向。子五：天佑、天成、天禧、天星、天保。</t>
  </si>
  <si>
    <t>M000152</t>
  </si>
  <si>
    <t>光达</t>
  </si>
  <si>
    <t>M000152W01</t>
  </si>
  <si>
    <t>字菊桂。配塘边刘氏，生康熙庚辰（1700年）十一月二十一日。殁乾隆辛丑（1781年）五月初一，葬香炉山人形。子二：天相、天吉。</t>
  </si>
  <si>
    <t>M000153</t>
  </si>
  <si>
    <t>光远</t>
  </si>
  <si>
    <t>1695.3.20</t>
  </si>
  <si>
    <t>清朝康熙三十四年</t>
  </si>
  <si>
    <t>乙亥年三月二十</t>
  </si>
  <si>
    <t>1774.9.4</t>
  </si>
  <si>
    <t>清朝乾隆三十九年</t>
  </si>
  <si>
    <t>甲午年九月初四</t>
  </si>
  <si>
    <t>字殿芳。生康熙乙亥（1719年）三月二十日。殁乾隆甲午（1774年）九月初四，坤艮向。子一：天赐。</t>
  </si>
  <si>
    <t>M000154</t>
  </si>
  <si>
    <t>光统</t>
  </si>
  <si>
    <t>76</t>
  </si>
  <si>
    <t>1679.9.13</t>
  </si>
  <si>
    <t>己未年九月十三</t>
  </si>
  <si>
    <t>1755.3.21</t>
  </si>
  <si>
    <t>清朝乾隆二十年</t>
  </si>
  <si>
    <t>乙亥年三月廿一</t>
  </si>
  <si>
    <t>M000154W01</t>
  </si>
  <si>
    <t>字家献。生康熙已未（1715年）九月十三日。殁乾隆乙亥（1755年）三月二十一日，葬于北斗人形坤山艮向。配唐氏，生康熙乙丑（1709年）十二月十二日，殁乾隆庚辰（1760年）八月十一日，葬槎江屋后虎形。子一：鳌。</t>
  </si>
  <si>
    <t>M000155</t>
  </si>
  <si>
    <t>光绥</t>
  </si>
  <si>
    <t>1690.9.5</t>
  </si>
  <si>
    <t>庚午年九月初五</t>
  </si>
  <si>
    <t>1736.5.6</t>
  </si>
  <si>
    <t>清朝乾隆元年</t>
  </si>
  <si>
    <t>丙辰年五月初六</t>
  </si>
  <si>
    <t>M000155W01</t>
  </si>
  <si>
    <t>儒士字，非愚行名再。生康熙庚午（1690年）九月初五。殁乾隆丙辰（1736年）五月初六日，葬香炉山人形。配肖氏，生康熙甲戌（1754年）正月二十四日。子二：天定、天禄。</t>
  </si>
  <si>
    <t>M000156</t>
  </si>
  <si>
    <t>光辉</t>
  </si>
  <si>
    <t>样槎江屋后虎形</t>
  </si>
  <si>
    <t>1697.6.3</t>
  </si>
  <si>
    <t>清朝康熙三十六年</t>
  </si>
  <si>
    <t>丁丑年六月初三</t>
  </si>
  <si>
    <t>1783.8.1</t>
  </si>
  <si>
    <t>清朝乾隆四十八年</t>
  </si>
  <si>
    <t>癸卯年八月初一</t>
  </si>
  <si>
    <t>M000156W01</t>
  </si>
  <si>
    <t>字积山。生康熙丁丑（1697年）六月初三。殁乾隆癸未（1763年）八月初一，葬样槎江屋后虎形。配草矿朱氏，生康熙乙酉（1705年）九月十二日，殁乾隆壬寅年(1782)十二月十九日，葬香炉山。子三：天富、天贵、天寿。</t>
  </si>
  <si>
    <t>M000157</t>
  </si>
  <si>
    <t>锡元</t>
  </si>
  <si>
    <t>M000157W01</t>
  </si>
  <si>
    <t>禹桃。配陈氏，生康熙乙丑（1709年）十月二十日。殁乾隆丙戌（1766年）四月初十日，葬香炉山人形。子一：评紫。</t>
  </si>
  <si>
    <t>M000158</t>
  </si>
  <si>
    <t>光建</t>
  </si>
  <si>
    <t>云南工门外</t>
  </si>
  <si>
    <t>1712.6.27</t>
  </si>
  <si>
    <t>壬辰年六月廿七</t>
  </si>
  <si>
    <t>M000158W01</t>
  </si>
  <si>
    <t>字桂陶。生康熙壬辰（1772年）六月二十七日，葬云南工门外。配杨氏。子一：绳祖。</t>
  </si>
  <si>
    <t>M000159</t>
  </si>
  <si>
    <t>光迟</t>
  </si>
  <si>
    <t>M000159W01</t>
  </si>
  <si>
    <t>字金狮，客居四川金沙山后。配某氏。子二：开祖、绳祖（出继光建位下）。</t>
  </si>
  <si>
    <t>M000160</t>
  </si>
  <si>
    <t>光绸</t>
  </si>
  <si>
    <t>上潭沅北子山形巽山干向</t>
  </si>
  <si>
    <t>57</t>
  </si>
  <si>
    <t>1704.5.22</t>
  </si>
  <si>
    <t>甲申年五月廿二</t>
  </si>
  <si>
    <t>1761.11.27</t>
  </si>
  <si>
    <t>清朝乾隆二十六年</t>
  </si>
  <si>
    <t>辛巳年十一月廿七</t>
  </si>
  <si>
    <t>M000160W01,M000160W02</t>
  </si>
  <si>
    <t>字趸安。生康熙甲申（1704年）五月二十二日。殁乾隆辛己（1761年）十一月二十七日，葬于上潭沅北子山形巽山干向。配刘氏，生康熙壬辰（1712年）二月初七日，殁乾隆癸亥（1743年）六月二十二日，葬鹅坵田边龙形。子：宗善。后配刘氏，生康熙辛丑（1601年，注：年代存疑）正月初一，殁乾隆正月十六日，葬北子山人形。子一：宗善。</t>
  </si>
  <si>
    <t>M000161</t>
  </si>
  <si>
    <t>光缙</t>
  </si>
  <si>
    <t>人形下首虎形</t>
  </si>
  <si>
    <t>72</t>
  </si>
  <si>
    <t>1684.3.2</t>
  </si>
  <si>
    <t>甲子年三月初二</t>
  </si>
  <si>
    <t>1756.7.27</t>
  </si>
  <si>
    <t>丙子年七月廿七</t>
  </si>
  <si>
    <t>M000161W01,M000161W02,M000161W03</t>
  </si>
  <si>
    <t>彭氏_x000D_
戴氏_x000D_
杨氏</t>
  </si>
  <si>
    <t>字伯寅，考试前列倡建大祠。生康熙甲子（1684年）三月初二。殁乾隆丙子（1756年）七月二十七日。配石桥彭氏，生康熙戊辰（1688年）十月十八日，殁乾隆已卯（1759年）二月二十三日，仝葬人形下首虎形。次配戴氏，葬香炉山，又配杨氏殁乾隆乙未（1775年）十月初六，葬人形下首虎形。子：继立、宗舜、宗仁。</t>
  </si>
  <si>
    <t>M000162</t>
  </si>
  <si>
    <t>光缨</t>
  </si>
  <si>
    <t>上城田边王赏萤垅形</t>
  </si>
  <si>
    <t>1687.8.1</t>
  </si>
  <si>
    <t>清朝康熙二十六年</t>
  </si>
  <si>
    <t>丁卯年八月初一</t>
  </si>
  <si>
    <t>1739.11.2</t>
  </si>
  <si>
    <t>清朝乾隆四年</t>
  </si>
  <si>
    <t>己未年十一月初二</t>
  </si>
  <si>
    <t>M000162W01</t>
  </si>
  <si>
    <t>字张纶、业儒。生康熙丁卯（1687年）八月初。殁雍正己卯（1735年）十一月初二，葬上城田边王赏萤垅形。配东坑刘氏，生康熙庚午（1690年）十一月二十日，殁乾隆丁卯（1747年）四月初十，葬于上城边王赏萤垅形干山巽向。子二：宗贤、宗舜（出继光缙后）。</t>
  </si>
  <si>
    <t>M000163</t>
  </si>
  <si>
    <t>光绨</t>
  </si>
  <si>
    <t>香炉山虎形</t>
  </si>
  <si>
    <t>1699.2.5</t>
  </si>
  <si>
    <t>清朝康熙三十八年</t>
  </si>
  <si>
    <t>己卯年二月初五</t>
  </si>
  <si>
    <t>1756.9.12</t>
  </si>
  <si>
    <t>丙子年九月十二</t>
  </si>
  <si>
    <t>M000163W01</t>
  </si>
  <si>
    <t>字依安。生康熙已卯（1699年）二月初五。殁乾隆丙子（1756年）九月十二日。配杨氏，生康熙辛己（1691年）二月二十五日，殁乾隆丙戌（1766年）二月二十七日，葬香炉山虎形辛乙向。子二：宗盛、宗文。</t>
  </si>
  <si>
    <t>M000164</t>
  </si>
  <si>
    <t>光绅</t>
  </si>
  <si>
    <t>1704.3.15</t>
  </si>
  <si>
    <t>甲申年三月十五</t>
  </si>
  <si>
    <t>M000164W01</t>
  </si>
  <si>
    <t>字言书，设帐宣威。生康熙甲申（1704年）三月十五日。殁宣威。配彭氏，生康熙乙酉（1705年）十一月，殁乾隆戊寅（1758年）三月初二。子二：宗尧、宗礼。</t>
  </si>
  <si>
    <t>M000165</t>
  </si>
  <si>
    <t>光绣</t>
  </si>
  <si>
    <t>田边王赏萤垅形上牌右</t>
  </si>
  <si>
    <t>1722.2.10</t>
  </si>
  <si>
    <t>清朝康熙六十一年</t>
  </si>
  <si>
    <t>壬寅年二月初十</t>
  </si>
  <si>
    <t>M000165W01</t>
  </si>
  <si>
    <t>字敬安。生康熙壬寅（1722年）二月初十。殁宜威洲。配肖氏，生康熙己亥（1719年）七月二十三日，殁乾隆丁未（1775年）三月二十日，葬于田边王赏萤垅形上牌右。子一：宗焕。</t>
  </si>
  <si>
    <t>M000166</t>
  </si>
  <si>
    <t>桂绥</t>
  </si>
  <si>
    <t>永新一都横源左边</t>
  </si>
  <si>
    <t>1688.9.26</t>
  </si>
  <si>
    <t>戊辰年九月廿六</t>
  </si>
  <si>
    <t>1751.10.5</t>
  </si>
  <si>
    <t>清朝乾隆十六年</t>
  </si>
  <si>
    <t>辛未年十月初五</t>
  </si>
  <si>
    <t>M000166W01</t>
  </si>
  <si>
    <t>字杰能。生康熙戊辰（1688年）九月二十六日。殁乾隆辛未（1751年）十月初五，葬于永新一都横源左边。配旷氏，生康熙辛未（1691年）十月初十，殁乾隆辛未（1751年）九月十八日，仝葬横源右边癸丁向。子三：遂保、逑保、退保。</t>
  </si>
  <si>
    <t>M000167</t>
  </si>
  <si>
    <t>辉山</t>
  </si>
  <si>
    <t>出商。</t>
  </si>
  <si>
    <t>M000168</t>
  </si>
  <si>
    <t>光综</t>
  </si>
  <si>
    <t>字轩侣，出商。</t>
  </si>
  <si>
    <t>M000169</t>
  </si>
  <si>
    <t>光兴</t>
  </si>
  <si>
    <t>1711.3.28</t>
  </si>
  <si>
    <t>清朝康熙五十年</t>
  </si>
  <si>
    <t>辛卯年三月廿八</t>
  </si>
  <si>
    <t>1783.11.5</t>
  </si>
  <si>
    <t>癸卯年十一月初五</t>
  </si>
  <si>
    <t>M000169W01,M000169W02</t>
  </si>
  <si>
    <t>龙氏、龙氏</t>
  </si>
  <si>
    <t>字畲鲁。生康熙辛卯（1711年）三月二十八日。殁乾隆癸卯（1783年）十一月初五。配龙氏，生雍正癸卯（1783年）十一月初五。配龙氏，生雍正癸卯（1723年）八月十六日，殁乾隆戊申（1788年）十二月，仝葬香炉山辛山乙向。子二：应龙、应芳，光绶第三子继立。</t>
  </si>
  <si>
    <t>M000170</t>
  </si>
  <si>
    <t>光纶</t>
  </si>
  <si>
    <t>西源太坪铺毡形</t>
  </si>
  <si>
    <t>1703.3.30</t>
  </si>
  <si>
    <t>清朝康熙四十二年</t>
  </si>
  <si>
    <t>癸未年三月三十</t>
  </si>
  <si>
    <t>1753.2.21</t>
  </si>
  <si>
    <t>癸酉年二月廿一</t>
  </si>
  <si>
    <t>M000170W01</t>
  </si>
  <si>
    <t>字敬孚。生康熙癸未（1703年）二月三十日。殁乾隆癸酉（1753年）二月二十一日，葬西源太坪铺毡形。配陈氏，生康熙癸巳（1713年）七月二十七日，殁乾隆乙丑（1745年）十二月十三日，葬香炉山二牌。子一：应魁。继配周氏，生康熙癸巳（1713年）十二月十二日，殁乾隆丁未（1787年）葬于沈源象形下牌坤艮向。子一：应昭。</t>
  </si>
  <si>
    <t>M000171</t>
  </si>
  <si>
    <t>光缮</t>
  </si>
  <si>
    <t>字寒雀，早殁。</t>
  </si>
  <si>
    <t>M000172</t>
  </si>
  <si>
    <t>光经</t>
  </si>
  <si>
    <t>字黄雀，早殁。</t>
  </si>
  <si>
    <t>M000173</t>
  </si>
  <si>
    <t>光缃</t>
  </si>
  <si>
    <t>象形全</t>
  </si>
  <si>
    <t>1723.12.14</t>
  </si>
  <si>
    <t>清朝雍正元年</t>
  </si>
  <si>
    <t>癸卯年十二月十四</t>
  </si>
  <si>
    <t>1784.4.29</t>
  </si>
  <si>
    <t>甲辰年四月廿九</t>
  </si>
  <si>
    <t>M000173W01,M000173W02</t>
  </si>
  <si>
    <t>刘氏、薛氏</t>
  </si>
  <si>
    <t>太学生</t>
  </si>
  <si>
    <t>字豁愚、号虎德，裳诒诗圣大学生好善乐施邑志耆英傅载。生雍正癸卯（1723年）十二月十四日。殁乾隆甲辰（1784年）四月二十九日，葬于上潭沅封门象形上牌。配刘氏，生雍正辛亥（1731年）十月初五，殁嘉庆丙辰（1796年）四月初四，合葬象形全坤艮向。子：应发、应奇。继配薛氏，生乾隆庚午（1750年）八月初六。子：应丕、应雷。</t>
  </si>
  <si>
    <t>M000174</t>
  </si>
  <si>
    <t>光纪</t>
  </si>
  <si>
    <t>上沈源象形</t>
  </si>
  <si>
    <t>1722.10.3</t>
  </si>
  <si>
    <t>壬寅年十月初三</t>
  </si>
  <si>
    <t>M000174W01</t>
  </si>
  <si>
    <t>字敬勤。生康熙壬寅（1662年）十月三日。殁南安洲。配王氏，生雍正庚戌（1730年）五月二十二日，殁乾隆乙巳（1785年）八月初四，葬上沈源象形坤艮向。子：应标、应柱。</t>
  </si>
  <si>
    <t>M000175</t>
  </si>
  <si>
    <t>光绂</t>
  </si>
  <si>
    <t>北斗形右手</t>
  </si>
  <si>
    <t>1713.12.19</t>
  </si>
  <si>
    <t>癸巳年十二月十九</t>
  </si>
  <si>
    <t>1767.5.26</t>
  </si>
  <si>
    <t>清朝乾隆三十二年</t>
  </si>
  <si>
    <t>丁亥年五月廿六</t>
  </si>
  <si>
    <t>M000175W01</t>
  </si>
  <si>
    <t>字敬彰。生康熙癸巳（1713年）十二月十九日。殁乾隆丁亥（1767年）五月二十六日。配刘氏，生雍正癸卯（1723年）十月，殁乾隆丁酉（1777年）十二月十四日，同葬北斗形右手。子四：应超、应显、应群、应bb芳（出继光兴后）。</t>
  </si>
  <si>
    <t>M000176</t>
  </si>
  <si>
    <t>光絧</t>
  </si>
  <si>
    <t>下沈源奄左虎形中穴</t>
  </si>
  <si>
    <t>1684.9.12</t>
  </si>
  <si>
    <t>甲子年九月十二</t>
  </si>
  <si>
    <t>1759.11.22</t>
  </si>
  <si>
    <t>清朝乾隆二十四年</t>
  </si>
  <si>
    <t>己卯年十一月廿二</t>
  </si>
  <si>
    <t>M000176W01</t>
  </si>
  <si>
    <t>字橱堂。生康熙甲子（1684年）九月十二日。殁乾隆已卯（1795年）十一月二十二日，葬下沈源奄左虎形中穴。配王氏，生康熙丁卯（1687年）六月二十九日，殁乾隆辛巳（1761年）十月二十三日，葬于虎形。子四：选廷、次廷、燕廷、魁廷。</t>
  </si>
  <si>
    <t>M000177</t>
  </si>
  <si>
    <t>光绪</t>
  </si>
  <si>
    <t>黄土垅虎形</t>
  </si>
  <si>
    <t>1686.6.24</t>
  </si>
  <si>
    <t>清朝康熙二十五年</t>
  </si>
  <si>
    <t>丙寅年六月廿四</t>
  </si>
  <si>
    <t>1749.9.24</t>
  </si>
  <si>
    <t>己巳年九月廿四</t>
  </si>
  <si>
    <t>M000177W01</t>
  </si>
  <si>
    <t>字柳辰。生康熙丙寅（1686年）六月二十四日，六十寿汤溪县，尹张进赠匾诗可风。殁乾隆己巳（1749年）九月二十四日，葬黄土垅虎形。配刘氏，生康熙己卯（1699年），殁乾隆戊戌（1778年）正月十四日，葬于新沅铺毡形。子二：定元、定癸。</t>
  </si>
  <si>
    <t>M000178</t>
  </si>
  <si>
    <t>源观</t>
  </si>
  <si>
    <t>字穆保。</t>
  </si>
  <si>
    <t>M000179</t>
  </si>
  <si>
    <t>禄保</t>
  </si>
  <si>
    <t>M000180</t>
  </si>
  <si>
    <t>新禧</t>
  </si>
  <si>
    <t>上沈源虎形</t>
  </si>
  <si>
    <t>1702.1.20</t>
  </si>
  <si>
    <t>壬午年元月二十</t>
  </si>
  <si>
    <t>1780.3.4</t>
  </si>
  <si>
    <t>清朝乾隆四十五年</t>
  </si>
  <si>
    <t>庚子年三月初四</t>
  </si>
  <si>
    <t>M000180W01</t>
  </si>
  <si>
    <t>字玩万（重复记录）。生康熙壬午（1702年）正月二十日。殁乾隆庚子（1780年）三月初四，葬于上沈源虎形。配刘氏，殁乾隆，葬香炉山人形。子三：宏茂、宏达、宏 进（出继蒲元后）。</t>
  </si>
  <si>
    <t>M000181</t>
  </si>
  <si>
    <t>蒲元</t>
  </si>
  <si>
    <t>1669.5.3</t>
  </si>
  <si>
    <t>己酉年五月初三</t>
  </si>
  <si>
    <t>1742.7.13</t>
  </si>
  <si>
    <t>清朝乾隆七年</t>
  </si>
  <si>
    <t>壬戌年七月十三</t>
  </si>
  <si>
    <t>M000181W01,M000181W02</t>
  </si>
  <si>
    <t>唐氏、刘氏</t>
  </si>
  <si>
    <t>字玩占。生康熙己酉（1699年）五月初三。殁乾隆七月十三日，葬于香炉山人形。配唐氏。继配刘氏，生康熙十二月二日，殁乾隆乙未（1739年）十月十二日，葬上沈源虎形。子一：宏进。</t>
  </si>
  <si>
    <t>M000182</t>
  </si>
  <si>
    <t>守贶</t>
  </si>
  <si>
    <t>1708.6.6</t>
  </si>
  <si>
    <t>戊子年六月初六</t>
  </si>
  <si>
    <t>1762.3.12</t>
  </si>
  <si>
    <t>清朝乾隆二十七年</t>
  </si>
  <si>
    <t>壬午年三月十二</t>
  </si>
  <si>
    <t>M000182W01</t>
  </si>
  <si>
    <t>字玩宾。生康熙戊子（1708年）六月六日。殁乾隆壬午（1762年）三月十二日。配李氏，生康熙丙申（1716年）十一月十一日，殁乾隆戊戌（1778年）六月初四，葬于香炉山。子四：宏昌、宏闻、宏志、宏毅。</t>
  </si>
  <si>
    <t>M000183</t>
  </si>
  <si>
    <t>景福</t>
  </si>
  <si>
    <t>上沈源门首虎形</t>
  </si>
  <si>
    <t>1718.6.25</t>
  </si>
  <si>
    <t>戊戌年六月廿五</t>
  </si>
  <si>
    <t>1772.3.7</t>
  </si>
  <si>
    <t>清朝乾隆三十七年</t>
  </si>
  <si>
    <t>壬辰年三月初七</t>
  </si>
  <si>
    <t>M000183W01</t>
  </si>
  <si>
    <t>字建亭。生康熙戊戌（1778年）六月二十五日。殁乾隆壬辰（1772年）三月初七，葬于上沈源门首虎形。配黄氏，生雍正元年六月十八日，殁乾隆已未（1739年）七月十四日，葬北斗人形辛山乙向。子一：宏敬。</t>
  </si>
  <si>
    <t>M000184</t>
  </si>
  <si>
    <t>宣鹤</t>
  </si>
  <si>
    <t>55</t>
  </si>
  <si>
    <t>1712.11.11</t>
  </si>
  <si>
    <t>壬辰年十一月十一</t>
  </si>
  <si>
    <t>1767.11.21</t>
  </si>
  <si>
    <t>丁亥年十一月廿一</t>
  </si>
  <si>
    <t>M000184W01</t>
  </si>
  <si>
    <t>字玩高。生康熙壬辰（1712年）十一月十一日。殁乾隆丁亥（1767年）十一月二十一日，葬于上沈源虎形。配彭氏，生康熙庚子（1720年）正月初八，殁乾隆癸未（1763年）十一月初十日，葬香炉山仓内。子三：宏泰、宏党、宏祥。</t>
  </si>
  <si>
    <t>M000185</t>
  </si>
  <si>
    <t>宗照</t>
  </si>
  <si>
    <t>1743.8.12</t>
  </si>
  <si>
    <t>清朝乾隆八年</t>
  </si>
  <si>
    <t>癸亥年八月十二</t>
  </si>
  <si>
    <t>字喜发。生乾隆癸亥（1743年）八月十二日。</t>
  </si>
  <si>
    <t>M000186</t>
  </si>
  <si>
    <t>宗烈</t>
  </si>
  <si>
    <t>1743.9.29</t>
  </si>
  <si>
    <t>癸亥年九月廿九</t>
  </si>
  <si>
    <t>1760.1.1</t>
  </si>
  <si>
    <t>清朝乾隆二十五年</t>
  </si>
  <si>
    <t>庚辰年元月初一</t>
  </si>
  <si>
    <t>字喜冬。生乾隆癸亥（1743年）九月二十九日。殁乾隆庚辰（1760年）。</t>
  </si>
  <si>
    <t>M000187</t>
  </si>
  <si>
    <t>宗干</t>
  </si>
  <si>
    <t>1746.9.7</t>
  </si>
  <si>
    <t>清朝乾隆十一年</t>
  </si>
  <si>
    <t>丙寅年九月初七</t>
  </si>
  <si>
    <t>M000187W01</t>
  </si>
  <si>
    <t>字建刚。生乾隆丙寅（1746年）九月初七。配肖氏，生乾隆戊辰（1748年）十一月初十日。继配刘氏，生乾隆甲戌（1754年）十一月十四日。子三：宏修、宏材、宏植。</t>
  </si>
  <si>
    <t>M000188</t>
  </si>
  <si>
    <t>庆福</t>
  </si>
  <si>
    <t>车头触形</t>
  </si>
  <si>
    <t>M000188W01</t>
  </si>
  <si>
    <t>字步黄，葬车头触形。配彭氏，生康熙己丑（1685年）九月初一。殁乾隆壬寅（1782年）十月初一，葬于茅田屋后。子二：法耀、益光。</t>
  </si>
  <si>
    <t>M000189</t>
  </si>
  <si>
    <t>庆寿</t>
  </si>
  <si>
    <t>M000190</t>
  </si>
  <si>
    <t>庆卓</t>
  </si>
  <si>
    <t>车头人形</t>
  </si>
  <si>
    <t>1702.5.13</t>
  </si>
  <si>
    <t>壬午年五月十三</t>
  </si>
  <si>
    <t>1765.2.12</t>
  </si>
  <si>
    <t>乙酉年二月十二</t>
  </si>
  <si>
    <t>M000190W01</t>
  </si>
  <si>
    <t>字步照，住居草塘。生康熙壬午（1702年）五月十三日。殁乾隆乙酉（1756年）二月十二日。配刘氏，生康熙壬辰（1712年）四月初六，殁乾隆丙申三月初九，葬车头人形。子三：韩佩、韩阳、韩容。</t>
  </si>
  <si>
    <t>M000191</t>
  </si>
  <si>
    <t>长福</t>
  </si>
  <si>
    <t>M000191W01</t>
  </si>
  <si>
    <t>字步发。配某氏。子一：任宗。</t>
  </si>
  <si>
    <t>M000192</t>
  </si>
  <si>
    <t>庆春</t>
  </si>
  <si>
    <t>M000192W01</t>
  </si>
  <si>
    <t>字步青。配朱氏，葬于香炉山。子二：曜宗、贞宗。</t>
  </si>
  <si>
    <t>M000193</t>
  </si>
  <si>
    <t>庆夏</t>
  </si>
  <si>
    <t>字步吕，出商云南。</t>
  </si>
  <si>
    <t>M000194</t>
  </si>
  <si>
    <t>庆积</t>
  </si>
  <si>
    <t>1734.1.1</t>
  </si>
  <si>
    <t>甲寅年元月初一</t>
  </si>
  <si>
    <t>字步云。生雍正甲寅（1734年）。</t>
  </si>
  <si>
    <t>M000195</t>
  </si>
  <si>
    <t>庆宗</t>
  </si>
  <si>
    <t>1738.1.28</t>
  </si>
  <si>
    <t>清朝乾隆三年</t>
  </si>
  <si>
    <t>戊午年元月廿八</t>
  </si>
  <si>
    <t>1800.6.6</t>
  </si>
  <si>
    <t>清朝嘉庆五年</t>
  </si>
  <si>
    <t>庚申年六月初六</t>
  </si>
  <si>
    <t>M000195W01</t>
  </si>
  <si>
    <t>字步连。生乾隆戊午（1738年）正月二十八日。殁嘉庆庚申（1800年）六月初六。配刘氏，生乾隆庚午（1750年）八月二十五日，殁乾隆丁未（1787年）三月二十日，仝葬北斗人形。子三：宏宽、宏魁、宏训。</t>
  </si>
  <si>
    <t>M000196</t>
  </si>
  <si>
    <t>长生</t>
  </si>
  <si>
    <t>M000197</t>
  </si>
  <si>
    <t>继宗</t>
  </si>
  <si>
    <t>M000197W01</t>
  </si>
  <si>
    <t>字廷思。配周氏。</t>
  </si>
  <si>
    <t>M000198</t>
  </si>
  <si>
    <t>天佑</t>
  </si>
  <si>
    <t>1705.8.5</t>
  </si>
  <si>
    <t>清朝康熙四十四年</t>
  </si>
  <si>
    <t>乙酉年八月初五</t>
  </si>
  <si>
    <t>1762.9.18</t>
  </si>
  <si>
    <t>壬午年九月十八</t>
  </si>
  <si>
    <t>M000198W01</t>
  </si>
  <si>
    <t>字燕贻。生康熙己酉（1705年）八月初五日。殁乾隆壬午（1762年）九月十八日，葬北斗人形。配刘氏，生康熙乙未（1715年）六月二十一日。子一：宏尚。</t>
  </si>
  <si>
    <t>M000199</t>
  </si>
  <si>
    <t>天成</t>
  </si>
  <si>
    <t>北斗人形，朝东偏北，俯视胜山河</t>
  </si>
  <si>
    <t>37</t>
  </si>
  <si>
    <t>1714.9.21</t>
  </si>
  <si>
    <t>清朝康熙五十三年</t>
  </si>
  <si>
    <t>甲午年九月廿一</t>
  </si>
  <si>
    <t>1751.2.8</t>
  </si>
  <si>
    <t>辛未年二月初八</t>
  </si>
  <si>
    <t>M000199W01</t>
  </si>
  <si>
    <t>字可宏，生康熙甲午（1714年）九月二十一日，殁乾隆辛未（1715年）二月初八日。配彭氏，生康熙甲午（1714年）十月二十八日，殁乾隆甲辰（1784年）八月二十九日，葬北斗人形，朝东偏北，俯视胜山河。古地理先生云：“日看千龙穿洞，（木排过龙洲桥）夜看万民点灯。”（寿堂）2016（农历）11.26日保舜为老祖立碑。我为之选址，立单头屋后北斗人形。（手写注：第二次来故乡。2016.8.28日）于香炉山人形。子二：应行、遂行。</t>
  </si>
  <si>
    <t>M000200</t>
  </si>
  <si>
    <t>天禧</t>
  </si>
  <si>
    <t>字处暑。</t>
  </si>
  <si>
    <t>M000201</t>
  </si>
  <si>
    <t>天星</t>
  </si>
  <si>
    <t>M000202</t>
  </si>
  <si>
    <t>天保</t>
  </si>
  <si>
    <t>M000203</t>
  </si>
  <si>
    <t>字树轩。</t>
  </si>
  <si>
    <t>M000204</t>
  </si>
  <si>
    <t>天吉</t>
  </si>
  <si>
    <t>1738.1.1</t>
  </si>
  <si>
    <t>戊午年元月初一</t>
  </si>
  <si>
    <t>字万松。生乾隆戊午（1738年）。殁云南。</t>
  </si>
  <si>
    <t>M000205</t>
  </si>
  <si>
    <t>天赐</t>
  </si>
  <si>
    <t>1736.1.1</t>
  </si>
  <si>
    <t>字长松。生乾隆年间。</t>
  </si>
  <si>
    <t>M000206</t>
  </si>
  <si>
    <t>鳌</t>
  </si>
  <si>
    <t>1729.7.20</t>
  </si>
  <si>
    <t>己酉年七月二十</t>
  </si>
  <si>
    <t>1783.9.15</t>
  </si>
  <si>
    <t>癸卯年九月十五</t>
  </si>
  <si>
    <t>M000206W01,M000206W02</t>
  </si>
  <si>
    <t>谭氏、欧阳氏</t>
  </si>
  <si>
    <t>字建行各天喜敦诗说礼，含英嚼华力学未售。生雍正己酉（1729年）七月二十日。殁乾隆癸未（1763年）九月十五日。配谭氏，生雍正戊申年六月十二日，殁乾隆己卯（1795年）六月二十七日，仝葬北斗人形，辛山乙向。子二：肇炳、肇煌。继配欧阳氏，生乾隆庚申（1740年）十一月十三日，殁嘉庆丙辰（1796年）八月二十六日，葬于香炉山人形左边。子一：肇新。</t>
  </si>
  <si>
    <t>M000207</t>
  </si>
  <si>
    <t>天定</t>
  </si>
  <si>
    <t>字书喜。</t>
  </si>
  <si>
    <t>M000208</t>
  </si>
  <si>
    <t>天禄</t>
  </si>
  <si>
    <t>封门山</t>
  </si>
  <si>
    <t>1717.5.13</t>
  </si>
  <si>
    <t>丁酉年五月十三</t>
  </si>
  <si>
    <t>1796.12.19</t>
  </si>
  <si>
    <t>清朝嘉庆元年</t>
  </si>
  <si>
    <t>丙辰年十二月十九</t>
  </si>
  <si>
    <t>M000208W01,M000208W02</t>
  </si>
  <si>
    <t>王氏、李氏</t>
  </si>
  <si>
    <t>字建爵。生康熙丁酉（1717年）五月十三日。殁嘉庆元年十二月十九日，葬于封门山。配王氏，生雍正丁未（1727年）殁乾隆辛未（1751年），葬短垅仑。后配李氏，生乾隆丁巳（1737年）七月二十一日。子一：肇昆。</t>
  </si>
  <si>
    <t>M000209</t>
  </si>
  <si>
    <t>天富</t>
  </si>
  <si>
    <t>1730.9.12</t>
  </si>
  <si>
    <t>清朝雍正八年</t>
  </si>
  <si>
    <t>庚戌年九月十二</t>
  </si>
  <si>
    <t>字巨烈。生雍正庚戌（1730年）九月十二日，贵州成室。</t>
  </si>
  <si>
    <t>M000210</t>
  </si>
  <si>
    <t>天贵</t>
  </si>
  <si>
    <t>字连庆。</t>
  </si>
  <si>
    <t>M000211</t>
  </si>
  <si>
    <t>天寿</t>
  </si>
  <si>
    <t>40</t>
  </si>
  <si>
    <t>1737.3.5</t>
  </si>
  <si>
    <t>清朝乾隆二年</t>
  </si>
  <si>
    <t>丁巳年三月初五</t>
  </si>
  <si>
    <t>1777.8.21</t>
  </si>
  <si>
    <t>丁酉年八月廿一</t>
  </si>
  <si>
    <t>M000211W01</t>
  </si>
  <si>
    <t>聂氏</t>
  </si>
  <si>
    <t>字炳岗。生乾隆丁巳（1737年）三月初五日。殁乾隆丁酉（1777年）八月二十一日，殁宣威洲。配聂氏。子一：肇先。</t>
  </si>
  <si>
    <t>M000212</t>
  </si>
  <si>
    <t>评紫</t>
  </si>
  <si>
    <t>M000212W01</t>
  </si>
  <si>
    <t>字步板。配杨氏。</t>
  </si>
  <si>
    <t>M000213</t>
  </si>
  <si>
    <t>绳祖</t>
  </si>
  <si>
    <t>M000213W01</t>
  </si>
  <si>
    <t>字勉增，光迟次子，继立乾隆己卯（1759年）闰七月十八日。配黄氏，上四川山后。</t>
  </si>
  <si>
    <t>M000214</t>
  </si>
  <si>
    <t>开祖</t>
  </si>
  <si>
    <t>M000215</t>
  </si>
  <si>
    <t>宗善</t>
  </si>
  <si>
    <t>1741.1.1</t>
  </si>
  <si>
    <t>清朝乾隆六年</t>
  </si>
  <si>
    <t>辛酉年元月初一</t>
  </si>
  <si>
    <t>M000215W01</t>
  </si>
  <si>
    <t>字道瞻。生乾隆辛酉（1741年）。配杨氏。子一：宏映。</t>
  </si>
  <si>
    <t>M000216</t>
  </si>
  <si>
    <t>宗舜</t>
  </si>
  <si>
    <t>1735.5.30</t>
  </si>
  <si>
    <t>乙卯年五月三十</t>
  </si>
  <si>
    <t>1776.9.19</t>
  </si>
  <si>
    <t>清朝乾隆四十一年</t>
  </si>
  <si>
    <t>丙申年九月十九</t>
  </si>
  <si>
    <t>M000216W01</t>
  </si>
  <si>
    <t>字茂亭，光缨次子继立。生雍正乙卯闰四月三十日。殁乾隆丙申（1776年）九月十九日，葬人形下手虎形。配杨氏。</t>
  </si>
  <si>
    <t>M000217</t>
  </si>
  <si>
    <t>宗仁</t>
  </si>
  <si>
    <t>1749.9.11</t>
  </si>
  <si>
    <t>己巳年九月十一</t>
  </si>
  <si>
    <t>M000217W01</t>
  </si>
  <si>
    <t>字建星。生乾隆己巳（1749年）九月十一日。配杨氏，生乾隆戊辰（1748年）七月初五。子一：宏麟。</t>
  </si>
  <si>
    <t>M000218</t>
  </si>
  <si>
    <t>宗贤</t>
  </si>
  <si>
    <t>本都上沈源百子山人形</t>
  </si>
  <si>
    <t>1710.11.4</t>
  </si>
  <si>
    <t>庚寅年十一月初四</t>
  </si>
  <si>
    <t>1759.7.17</t>
  </si>
  <si>
    <t>己卯年七月十七</t>
  </si>
  <si>
    <t>M000218W01</t>
  </si>
  <si>
    <t>字建惟，力学未售。生康熙庚寅（1740年）十一月初四日。殁乾隆己卯（1759年）闰六月十七日，葬本都上沈源百子山人形，巽山干向。配刘氏，生康熙庚寅（1710年）七月初一日，殁乾隆戊辰（1748年）二月二十七日，葬田边王北毫龙形上排右。子四：宏发、宏业、宏位、宏辟。</t>
  </si>
  <si>
    <t>M000219</t>
  </si>
  <si>
    <t>宗盛</t>
  </si>
  <si>
    <t>下沈源虎形</t>
  </si>
  <si>
    <t>雍正丙午五月三十日</t>
  </si>
  <si>
    <t>M000219W01</t>
  </si>
  <si>
    <t>字建发。生雍正丙午（1726年）五月三十日。殁宣威洲。配刘氏，生乾隆丙辰（1736年）五月三十日，殁嘉庆戊辰年五月二十四日，葬下沈源虎形。子一：宏翰。</t>
  </si>
  <si>
    <t>M000220</t>
  </si>
  <si>
    <t>宗文</t>
  </si>
  <si>
    <t>1735.8.2</t>
  </si>
  <si>
    <t>乙卯年八月初二</t>
  </si>
  <si>
    <t>M000220W01</t>
  </si>
  <si>
    <t>字赞周。生雍正乙卯（1735年）八月初二。配陈氏，生乾隆已未（1739年）三月十六日，殁乾隆壬子（1792年）十一月二十五日，葬于下沈源虎形。子一：宏琳。</t>
  </si>
  <si>
    <t>M000221</t>
  </si>
  <si>
    <t>宗尧</t>
  </si>
  <si>
    <t>1669.1.1</t>
  </si>
  <si>
    <t>字瑞庄。生康熙己酉（1669年）。殁山嵩明洲。</t>
  </si>
  <si>
    <t>M000222</t>
  </si>
  <si>
    <t>宗礼</t>
  </si>
  <si>
    <t>1747.1.1</t>
  </si>
  <si>
    <t>清朝乾隆十二年</t>
  </si>
  <si>
    <t>丁卯年元月初一</t>
  </si>
  <si>
    <t>字开元。生乾隆丁卯（1747年）。殁嵩明洲。</t>
  </si>
  <si>
    <t>M000223</t>
  </si>
  <si>
    <t>宗焕</t>
  </si>
  <si>
    <t>1753.1.25</t>
  </si>
  <si>
    <t>癸酉年元月廿五</t>
  </si>
  <si>
    <t>字准堂。生乾隆癸酉（1753年）正月二十五日，成室宣威洲。子一：宏通。</t>
  </si>
  <si>
    <t>M000224</t>
  </si>
  <si>
    <t>遂保</t>
  </si>
  <si>
    <t>腰洛源</t>
  </si>
  <si>
    <t>1726.7.25</t>
  </si>
  <si>
    <t>清朝雍正四年</t>
  </si>
  <si>
    <t>丙午年七月廿五</t>
  </si>
  <si>
    <t>1786.4.2</t>
  </si>
  <si>
    <t>清朝乾隆五十一年</t>
  </si>
  <si>
    <t>丙午年四月初二</t>
  </si>
  <si>
    <t>M000224W01</t>
  </si>
  <si>
    <t>字善辉。生雍正丙午（1726年）七月二十五日。殁乾隆丙午（1786年）四月初二。配某氏，生雍正辛亥（1731年）五月二十日，殁嘉庆庚午（1810年）四月十一日，合葬于腰洛源。子二：培德、培法。</t>
  </si>
  <si>
    <t>M000225</t>
  </si>
  <si>
    <t>逑保</t>
  </si>
  <si>
    <t>M000225W01</t>
  </si>
  <si>
    <t>字振辉。配刘氏。</t>
  </si>
  <si>
    <t>M000226</t>
  </si>
  <si>
    <t>退保</t>
  </si>
  <si>
    <t>上沈源</t>
  </si>
  <si>
    <t>1734.7.30</t>
  </si>
  <si>
    <t>甲寅年七月三十</t>
  </si>
  <si>
    <t>1789.1.30</t>
  </si>
  <si>
    <t>清朝乾隆五十四年</t>
  </si>
  <si>
    <t>己酉年元月三十</t>
  </si>
  <si>
    <t>M000226W01</t>
  </si>
  <si>
    <t>字定辉。生雍正甲寅（1734年）七月三十日。殁乾隆己酉（1789年）正月三十日，葬上沈源。配刘氏，生乾隆癸酉（1753年）十月十八日，殁嘉庆丙寅（1806年）八月十九日，葬于骂沙横沅风形。子一：培兴。</t>
  </si>
  <si>
    <t>M000227</t>
  </si>
  <si>
    <t>应龙</t>
  </si>
  <si>
    <t>早殁。</t>
  </si>
  <si>
    <t>M000228</t>
  </si>
  <si>
    <t>应芳</t>
  </si>
  <si>
    <t>1752.1.1</t>
  </si>
  <si>
    <t>壬申年元月初一</t>
  </si>
  <si>
    <t>字佐馨。生乾隆壬申（1752年）。出商大姚县。</t>
  </si>
  <si>
    <t>M000229</t>
  </si>
  <si>
    <t>应魁</t>
  </si>
  <si>
    <t>字松，早殁。</t>
  </si>
  <si>
    <t>M000230</t>
  </si>
  <si>
    <t>应昭</t>
  </si>
  <si>
    <t>1752.8.9</t>
  </si>
  <si>
    <t>壬申年八月初九</t>
  </si>
  <si>
    <t>1799.7.20</t>
  </si>
  <si>
    <t>清朝嘉庆四年</t>
  </si>
  <si>
    <t>己未年七月二十</t>
  </si>
  <si>
    <t>M000230W01</t>
  </si>
  <si>
    <t>字与洁。生乾隆壬申（1752年）八月初九。殁嘉庆亥（1803年）七月二十日，殁在嵩明洲。配彭氏，生乾隆丁丑（1757年）三月二十日。子一：宏辉。</t>
  </si>
  <si>
    <t>M000231</t>
  </si>
  <si>
    <t>应发</t>
  </si>
  <si>
    <t>M000232</t>
  </si>
  <si>
    <t>应奇</t>
  </si>
  <si>
    <t>1762.4.20</t>
  </si>
  <si>
    <t>壬午年四月二十</t>
  </si>
  <si>
    <t>M000232W01</t>
  </si>
  <si>
    <t>欧阳氏</t>
  </si>
  <si>
    <t>字与纯。生乾隆壬午（1762年）四月二十日。配欧阳氏，生乾隆庚辰（1760年）九月十七日。子二：宏温、宏良。</t>
  </si>
  <si>
    <t>M000233</t>
  </si>
  <si>
    <t>应丕</t>
  </si>
  <si>
    <t>1773.10.25</t>
  </si>
  <si>
    <t>清朝乾隆三十八年</t>
  </si>
  <si>
    <t>癸巳年十月廿五</t>
  </si>
  <si>
    <t>M000233W01</t>
  </si>
  <si>
    <t>字宇烈。生癸巳（1773年）十月二十五日。配陈氏，生乾隆癸巳（1773年）十二月初十日。子一：宏模。</t>
  </si>
  <si>
    <t>M000234</t>
  </si>
  <si>
    <t>应雷</t>
  </si>
  <si>
    <t>1782.11.25</t>
  </si>
  <si>
    <t>清朝乾隆四十七年</t>
  </si>
  <si>
    <t>壬寅年十一月廿五</t>
  </si>
  <si>
    <t>字震高。生乾隆壬寅（1782年）十一月二十五日。</t>
  </si>
  <si>
    <t>M000235</t>
  </si>
  <si>
    <t>应标</t>
  </si>
  <si>
    <t>1750.9.2</t>
  </si>
  <si>
    <t>清朝乾隆十五年</t>
  </si>
  <si>
    <t>庚午年九月初二</t>
  </si>
  <si>
    <t>M000235W01</t>
  </si>
  <si>
    <t>字任馨。生乾隆庚午（1750年）九月初二日，出商开化府殁。配彭氏，生乾隆辛未（1751年）六月二十八日，殁乾隆癸丑（1793年）五月二十二日，葬于北斗人形。子一：宏觐。</t>
  </si>
  <si>
    <t>M000236</t>
  </si>
  <si>
    <t>应柱</t>
  </si>
  <si>
    <t>1762.3.3</t>
  </si>
  <si>
    <t>壬午年三月初三</t>
  </si>
  <si>
    <t>M000236W01</t>
  </si>
  <si>
    <t>字治立、业儒。生乾隆壬午（1762年）三月初三。配刘氏。</t>
  </si>
  <si>
    <t>M000237</t>
  </si>
  <si>
    <t>应超</t>
  </si>
  <si>
    <t>1742.1.1</t>
  </si>
  <si>
    <t>壬戌年元月初一</t>
  </si>
  <si>
    <t>字聚馨。生乾隆壬戌（1742年）。</t>
  </si>
  <si>
    <t>M000238</t>
  </si>
  <si>
    <t>应群</t>
  </si>
  <si>
    <t>1750.11.22</t>
  </si>
  <si>
    <t>庚午年十一月廿二</t>
  </si>
  <si>
    <t>字亮馨。生乾隆庚午（1750年）十一月二十二日。</t>
  </si>
  <si>
    <t>M000239</t>
  </si>
  <si>
    <t>应显</t>
  </si>
  <si>
    <t>M000240</t>
  </si>
  <si>
    <t>选廷</t>
  </si>
  <si>
    <t>M000241</t>
  </si>
  <si>
    <t>次廷</t>
  </si>
  <si>
    <t>M000242</t>
  </si>
  <si>
    <t>燕廷</t>
  </si>
  <si>
    <t>M000243</t>
  </si>
  <si>
    <t>魁廷</t>
  </si>
  <si>
    <t>M000244</t>
  </si>
  <si>
    <t>定元</t>
  </si>
  <si>
    <t>新源铺毡形左中牌子</t>
  </si>
  <si>
    <t>1719.10.10</t>
  </si>
  <si>
    <t>清朝康熙五十八年</t>
  </si>
  <si>
    <t>己亥年十月初十</t>
  </si>
  <si>
    <t>1753.1.1</t>
  </si>
  <si>
    <t>癸酉年元月初一</t>
  </si>
  <si>
    <t>M000244W01</t>
  </si>
  <si>
    <t>尹氏</t>
  </si>
  <si>
    <t>字绳武。生康熙己亥（1719年）十月初十。殁乾隆癸酉（1717年，注：年代存疑）正月二十八日。配尹氏，生康熙丁酉（1717年）十一月初七日，殁乾隆戊戌（1778年）正月二十日，仝葬新源铺毡形左中牌子。子一：宏禄。</t>
  </si>
  <si>
    <t>M000245</t>
  </si>
  <si>
    <t>宏茂</t>
  </si>
  <si>
    <t>29</t>
  </si>
  <si>
    <t>1738.7.11</t>
  </si>
  <si>
    <t>戊午年七月十一</t>
  </si>
  <si>
    <t>M000245W01</t>
  </si>
  <si>
    <t>字象元。生乾隆戊午（1738年）七月十一日。配刘氏，生乾隆壬戌（1742年）八月二十四日。子一：垂勲。</t>
  </si>
  <si>
    <t>M000246</t>
  </si>
  <si>
    <t>宏达</t>
  </si>
  <si>
    <t>M000246W01</t>
  </si>
  <si>
    <t>字象轩。配刘氏。</t>
  </si>
  <si>
    <t>M000247</t>
  </si>
  <si>
    <t>宏进</t>
  </si>
  <si>
    <t>1746.1.8</t>
  </si>
  <si>
    <t>丙寅年元月初八</t>
  </si>
  <si>
    <t>M000247W01,M000247W02</t>
  </si>
  <si>
    <t>刘氏；次配彭氏</t>
  </si>
  <si>
    <t>字象登。新禧第三子继立。生乾隆丙寅（1746年）正月初八。配刘氏；次配彭氏。子二：垂享、垂祀。</t>
  </si>
  <si>
    <t>M000248</t>
  </si>
  <si>
    <t>宏昌</t>
  </si>
  <si>
    <t>51</t>
  </si>
  <si>
    <t>1736.7.25</t>
  </si>
  <si>
    <t>丙辰年七月廿五</t>
  </si>
  <si>
    <t>1787.11.11</t>
  </si>
  <si>
    <t>清朝乾隆五十二年</t>
  </si>
  <si>
    <t>丁未年十一月十一</t>
  </si>
  <si>
    <t>M000248W01</t>
  </si>
  <si>
    <t>方氏</t>
  </si>
  <si>
    <t>字叠成。生乾隆丙辰（1736年）七月二十五日。殁乾隆丁未（1775年）十一月十一日，葬香炉山。配方氏，生乾隆庚午（1750年）六月初四。子二：垂德、垂徽、垂衢。</t>
  </si>
  <si>
    <t>M000249</t>
  </si>
  <si>
    <t>宏闻</t>
  </si>
  <si>
    <t>1743.11.1</t>
  </si>
  <si>
    <t>癸亥年十一月初一</t>
  </si>
  <si>
    <t>1745.7.18</t>
  </si>
  <si>
    <t>乙丑年七月十八</t>
  </si>
  <si>
    <t>字达轩。生乾隆癸亥（1743年）十一月。殁乾隆已丑（1745年）七月十八日。</t>
  </si>
  <si>
    <t>M000250</t>
  </si>
  <si>
    <t>宏志</t>
  </si>
  <si>
    <t>1751.11.11</t>
  </si>
  <si>
    <t>辛未年十一月十一</t>
  </si>
  <si>
    <t>M000250W01</t>
  </si>
  <si>
    <t>字畅成。生乾隆辛未（1751年）十一月十一日。配肖氏，生乾隆癸未（1763年）正月十一日。子一：垂冠。</t>
  </si>
  <si>
    <t>M000251</t>
  </si>
  <si>
    <t>宏毅</t>
  </si>
  <si>
    <t>1754.7.25</t>
  </si>
  <si>
    <t>甲戌年七月廿五</t>
  </si>
  <si>
    <t>M000251W01</t>
  </si>
  <si>
    <t>字定成。生乾隆甲戌（1754年）七月二十五日。配王氏，生乾隆癸未（1763年）三月十二日。子四：垂征、垂彻、垂卫、垂教。</t>
  </si>
  <si>
    <t>M000252</t>
  </si>
  <si>
    <t>宏敬</t>
  </si>
  <si>
    <t>1743.3.4</t>
  </si>
  <si>
    <t>癸亥年三月初四</t>
  </si>
  <si>
    <t>1788.6.26</t>
  </si>
  <si>
    <t>清朝乾隆五十三年</t>
  </si>
  <si>
    <t>戊申年六月廿六</t>
  </si>
  <si>
    <t>M000252W01</t>
  </si>
  <si>
    <t>字叠尊。生乾隆癸亥（1743年）三月初四。殁云南乾隆戊申（1788年）六月二十六日。配刘氏，生乾隆乙亥（1755年）七月初四日。子一：垂裕。</t>
  </si>
  <si>
    <t>M000253</t>
  </si>
  <si>
    <t>宏泰</t>
  </si>
  <si>
    <t>1738.5.9</t>
  </si>
  <si>
    <t>戊午年五月初九</t>
  </si>
  <si>
    <t>1782.9.11</t>
  </si>
  <si>
    <t>壬寅年九月十一</t>
  </si>
  <si>
    <t>M000253W01</t>
  </si>
  <si>
    <t>字居成。生乾隆戊午（1738年）五月初九日。殁乾隆壬寅（1782年）九月十一日，葬于香炉山人形。配刘氏，生乾隆辛未（1751年）九月初三日。子一：垂斌。</t>
  </si>
  <si>
    <t>M000254</t>
  </si>
  <si>
    <t>宏党</t>
  </si>
  <si>
    <t>30</t>
  </si>
  <si>
    <t>1772.6.29</t>
  </si>
  <si>
    <t>壬辰年六月廿九</t>
  </si>
  <si>
    <t>1802.6.27</t>
  </si>
  <si>
    <t>清朝嘉庆七年</t>
  </si>
  <si>
    <t>壬戌年六月廿七</t>
  </si>
  <si>
    <t>M000254W01</t>
  </si>
  <si>
    <t>字象犀。生乾隆壬辰（1742年）六月二十九日。殁嘉庆壬戌（1802年）六月二十七日。配刘氏，生乾隆戊寅（1758年）十月二十四日。子三：垂赋、垂鹉、垂赣。</t>
  </si>
  <si>
    <t>M000255</t>
  </si>
  <si>
    <t>宏祥</t>
  </si>
  <si>
    <t>1754.5.20</t>
  </si>
  <si>
    <t>甲戌年五月二十</t>
  </si>
  <si>
    <t>M000255W01</t>
  </si>
  <si>
    <t>字象丹。生乾隆甲戌（1754年）闰四月二十日。配唐氏，生乾隆戊子（1768年）八月二十二日。子三：垂诘。</t>
  </si>
  <si>
    <t>M000256</t>
  </si>
  <si>
    <t>宏修</t>
  </si>
  <si>
    <t>1784.11.23</t>
  </si>
  <si>
    <t>甲辰年十一月廿三</t>
  </si>
  <si>
    <t>字勤望。生乾隆甲辰（1784年）十一月二十三日。</t>
  </si>
  <si>
    <t>M000257</t>
  </si>
  <si>
    <t>宏材</t>
  </si>
  <si>
    <t>1787.12.17</t>
  </si>
  <si>
    <t>丁未年十二月十七</t>
  </si>
  <si>
    <t>M000257W01</t>
  </si>
  <si>
    <t>字雅望。生乾隆丁未（1787年）十二月十七日。配刘氏，生嘉庆壬戌（1802年）三月初九日。</t>
  </si>
  <si>
    <t>M000258</t>
  </si>
  <si>
    <t>宏植</t>
  </si>
  <si>
    <t>1793.1.8</t>
  </si>
  <si>
    <t>清朝乾隆五十八年</t>
  </si>
  <si>
    <t>癸丑年元月初八</t>
  </si>
  <si>
    <t>字常望。生乾隆癸丑（1793年）正月初八日。</t>
  </si>
  <si>
    <t>M000259</t>
  </si>
  <si>
    <t>法耀</t>
  </si>
  <si>
    <t>若岭龟形</t>
  </si>
  <si>
    <t>1734.9.12</t>
  </si>
  <si>
    <t>甲寅年九月十二</t>
  </si>
  <si>
    <t>1797.10.23</t>
  </si>
  <si>
    <t>清朝嘉庆二年</t>
  </si>
  <si>
    <t>丁巳年十月廿三</t>
  </si>
  <si>
    <t>M000259W01,M000259W02</t>
  </si>
  <si>
    <t>辛氏、周氏</t>
  </si>
  <si>
    <t>字建行，徙居茅田。生雍正甲寅（1734年）九月十二日。殁嘉庆丁巳（1797年）十月二十三日，葬若岭龟形。配辛氏，生乾隆丁卯（1747年）三月初八日，殁乾隆乙巳（1785年）二月二十日，葬于高洲香炉山。子一：垂笺。孔传公位下次子继立，继配周氏，生乾隆辛未（1751年）十月初一。子三：垂笙、垂策、垂筦。</t>
  </si>
  <si>
    <t>M000260</t>
  </si>
  <si>
    <t>益光</t>
  </si>
  <si>
    <t>M000261</t>
  </si>
  <si>
    <t>韩佩</t>
  </si>
  <si>
    <t>字连长，出商。</t>
  </si>
  <si>
    <t>M000262</t>
  </si>
  <si>
    <t>韩阳</t>
  </si>
  <si>
    <t>字连冬，出商云南。</t>
  </si>
  <si>
    <t>M000263</t>
  </si>
  <si>
    <t>韩容</t>
  </si>
  <si>
    <t>1744.2.3</t>
  </si>
  <si>
    <t>甲子年二月初三</t>
  </si>
  <si>
    <t>云南</t>
  </si>
  <si>
    <t>M000263W01</t>
  </si>
  <si>
    <t>鲁氏</t>
  </si>
  <si>
    <t>字佐川。生乾隆甲子（1744年）二月初三日。殁云南。配鲁氏，生乾隆戊寅（1758年）十二月二十六日，殁嘉庆丙辰（1796年）十月初二东川惠泽县。子：开桂。</t>
  </si>
  <si>
    <t>M000264</t>
  </si>
  <si>
    <t>任宗</t>
  </si>
  <si>
    <t>徙居泰和县。</t>
  </si>
  <si>
    <t>M000265</t>
  </si>
  <si>
    <t>曜宗</t>
  </si>
  <si>
    <t>字信傅，葬香炉山。</t>
  </si>
  <si>
    <t>M000266</t>
  </si>
  <si>
    <t>贞宗</t>
  </si>
  <si>
    <t>M000267</t>
  </si>
  <si>
    <t>宏宽</t>
  </si>
  <si>
    <t>1768.10.8</t>
  </si>
  <si>
    <t>清朝乾隆三十三年</t>
  </si>
  <si>
    <t>戊子年十月初八</t>
  </si>
  <si>
    <t>M000267W01</t>
  </si>
  <si>
    <t>字志堂。生乾隆戊子（1768年）十月初八。配王氏，生乾隆丁亥（1767年）。</t>
  </si>
  <si>
    <t>M000268</t>
  </si>
  <si>
    <t>宏魁</t>
  </si>
  <si>
    <t>1770.8.8</t>
  </si>
  <si>
    <t>清朝乾隆三十五年</t>
  </si>
  <si>
    <t>庚寅年八月初八</t>
  </si>
  <si>
    <t>M000268W01</t>
  </si>
  <si>
    <t>字劭堂。生乾隆庚寅（1770年）八月初八。配王氏，生乾隆癸卯（1783年）十二月初二。</t>
  </si>
  <si>
    <t>M000269</t>
  </si>
  <si>
    <t>宏训</t>
  </si>
  <si>
    <t>1778.2.25</t>
  </si>
  <si>
    <t>清朝乾隆四十三年</t>
  </si>
  <si>
    <t>戊戌年二月廿五</t>
  </si>
  <si>
    <t>M000269W01</t>
  </si>
  <si>
    <t>蘓氏</t>
  </si>
  <si>
    <t>字立堂。生乾隆戊戌（1778年）二月二十五日。配蘓氏，生乾隆己酉（1789年）五月十一日。子二：垂冕、垂昆。</t>
  </si>
  <si>
    <t>M000270</t>
  </si>
  <si>
    <t>宏尚</t>
  </si>
  <si>
    <t>1799.1.14</t>
  </si>
  <si>
    <t>己未年元月十四</t>
  </si>
  <si>
    <t>M000270W02</t>
  </si>
  <si>
    <t>字日茂。生乾隆已未（1739年）正月十四日，客居云南宣威州娶妻成籍。配刘氏。子四：郁才、小四、小五、小再。</t>
  </si>
  <si>
    <t>M000271</t>
  </si>
  <si>
    <t>应行</t>
  </si>
  <si>
    <t>字应生。生乾隆壬辰（1742年）十月十六日。殁云南。</t>
  </si>
  <si>
    <t>M000272</t>
  </si>
  <si>
    <t>遂行</t>
  </si>
  <si>
    <t>字遂生。生乾隆甲子（1744年）八月十二日。</t>
  </si>
  <si>
    <t>M000273</t>
  </si>
  <si>
    <t>肇炳</t>
  </si>
  <si>
    <t>潭源虎形</t>
  </si>
  <si>
    <t>1748.7.7</t>
  </si>
  <si>
    <t>清朝乾隆十三年</t>
  </si>
  <si>
    <t>戊辰年七月初七</t>
  </si>
  <si>
    <t>1775.1.5</t>
  </si>
  <si>
    <t>清朝乾隆四十年</t>
  </si>
  <si>
    <t>乙未年元月初五</t>
  </si>
  <si>
    <t>M000273W01</t>
  </si>
  <si>
    <t>字润吉。生乾隆戊辰（1748年）七月初七。殁乾隆乙未（1775年）正月初五日，葬潭源虎形。配彭氏。</t>
  </si>
  <si>
    <t>M000274</t>
  </si>
  <si>
    <t>肇煌</t>
  </si>
  <si>
    <t>M000275</t>
  </si>
  <si>
    <t>肇新</t>
  </si>
  <si>
    <t>1762.10.13</t>
  </si>
  <si>
    <t>壬午年十月十三</t>
  </si>
  <si>
    <t>字国铭。生乾隆壬午（1762年）十月十三日。</t>
  </si>
  <si>
    <t>M000276</t>
  </si>
  <si>
    <t>肇昆</t>
  </si>
  <si>
    <t>1762.10.3</t>
  </si>
  <si>
    <t>壬午年十月初三</t>
  </si>
  <si>
    <t>M000276W01</t>
  </si>
  <si>
    <t>欧氏</t>
  </si>
  <si>
    <t>字国墀。生乾隆壬午（1762年）十月初三。配欧氏，生乾隆壬午（1762年）八月初八日。子一：耀祖。</t>
  </si>
  <si>
    <t>M000277</t>
  </si>
  <si>
    <t>肇先</t>
  </si>
  <si>
    <t>1773.10.3</t>
  </si>
  <si>
    <t>癸巳年十月初三</t>
  </si>
  <si>
    <t>字相贤。生乾隆癸巳（1773年）十月初三日。</t>
  </si>
  <si>
    <t>M000278</t>
  </si>
  <si>
    <t>宏映</t>
  </si>
  <si>
    <t>1764.12.10</t>
  </si>
  <si>
    <t>清朝乾隆二十九年</t>
  </si>
  <si>
    <t>甲申年十二月初十</t>
  </si>
  <si>
    <t>字性池。生乾隆甲申（1764年）十二月初十日。</t>
  </si>
  <si>
    <t>M000279</t>
  </si>
  <si>
    <t>宏麟</t>
  </si>
  <si>
    <t>1781.12.28</t>
  </si>
  <si>
    <t>清朝乾隆四十六年</t>
  </si>
  <si>
    <t>辛丑年十二月廿八</t>
  </si>
  <si>
    <t>M000279W01</t>
  </si>
  <si>
    <t>字体池。生乾隆辛丑（1781年）十二月二十八日。配唐氏，生乾隆戊申（1788年）六月初六。子一：垂远。</t>
  </si>
  <si>
    <t>M000280</t>
  </si>
  <si>
    <t>宏发</t>
  </si>
  <si>
    <t>1732.5.27</t>
  </si>
  <si>
    <t>清朝雍正十年</t>
  </si>
  <si>
    <t>壬子年五月廿七</t>
  </si>
  <si>
    <t>M000280W01</t>
  </si>
  <si>
    <t>孙氏</t>
  </si>
  <si>
    <t>字顕祥。生雍正壬子（1732年）五月二十七日。配孙氏，客居宣威。子二：垂辅、垂弼。</t>
  </si>
  <si>
    <t>M000281</t>
  </si>
  <si>
    <t>宏业</t>
  </si>
  <si>
    <t>1734.8.5</t>
  </si>
  <si>
    <t>甲寅年八月初五</t>
  </si>
  <si>
    <t>字待行。生雍正甲寅（1734年）八月初五商宣威洲。</t>
  </si>
  <si>
    <t>M000282</t>
  </si>
  <si>
    <t>宏位</t>
  </si>
  <si>
    <t>1736.9.20</t>
  </si>
  <si>
    <t>M000282W01</t>
  </si>
  <si>
    <t>龙氏</t>
  </si>
  <si>
    <t>征仕郎</t>
  </si>
  <si>
    <t>字居广、号素行，奉皇恩钦赐征仕郎八品冠带。生乾隆元（1736年）九月二十日。配龙氏，生乾隆癸酉（1753年）六月十七日。子四：垂笺、垂簠、垂簋、垂简。</t>
  </si>
  <si>
    <t>M000283</t>
  </si>
  <si>
    <t>宏辟</t>
  </si>
  <si>
    <t>1744.11.23</t>
  </si>
  <si>
    <t>甲子年十一月廿三</t>
  </si>
  <si>
    <t>字居仁。生乾隆甲子（1744年）十一月二十三日。</t>
  </si>
  <si>
    <t>M000284</t>
  </si>
  <si>
    <t>宏翰</t>
  </si>
  <si>
    <t>1762.11.20</t>
  </si>
  <si>
    <t>壬午年十一月二十</t>
  </si>
  <si>
    <t>字国祥。生乾隆壬午（1762年）十一月二十日。殁宣威洲。</t>
  </si>
  <si>
    <t>M000285</t>
  </si>
  <si>
    <t>宏琳</t>
  </si>
  <si>
    <t>1783.3.20</t>
  </si>
  <si>
    <t>癸卯年三月二十</t>
  </si>
  <si>
    <t>字学祥。生乾隆癸卯（1783年）三月二十日。子一：垂瑛。</t>
  </si>
  <si>
    <t>M000286</t>
  </si>
  <si>
    <t>宏通</t>
  </si>
  <si>
    <t>外籍。</t>
  </si>
  <si>
    <t>M000287</t>
  </si>
  <si>
    <t>培德</t>
  </si>
  <si>
    <t>1772.3.13</t>
  </si>
  <si>
    <t>壬辰年三月十三</t>
  </si>
  <si>
    <t>字体元。生乾隆壬辰（1772年）三月十三日。</t>
  </si>
  <si>
    <t>M000288</t>
  </si>
  <si>
    <t>培法</t>
  </si>
  <si>
    <t>1774.8.9</t>
  </si>
  <si>
    <t>甲午年八月初九</t>
  </si>
  <si>
    <t>字体祥。生乾隆甲午（1774年）八月初九日。</t>
  </si>
  <si>
    <t>M000289</t>
  </si>
  <si>
    <t>培兴</t>
  </si>
  <si>
    <t>1778.8.14</t>
  </si>
  <si>
    <t>戊戌年八月十四</t>
  </si>
  <si>
    <t>M000289W01</t>
  </si>
  <si>
    <t>字体行。生乾隆戊戌（1778年）八月十四日。配刘氏，生乾隆癸卯（1783年）。</t>
  </si>
  <si>
    <t>M000290</t>
  </si>
  <si>
    <t>宏辉</t>
  </si>
  <si>
    <t>1783.1.27</t>
  </si>
  <si>
    <t>癸卯年元月廿七</t>
  </si>
  <si>
    <t>字明轩。生乾隆癸卯（1783年）正月二十七日。殁嘉庆己巳（1749年，注：年代存疑）五月初五日，在嵩明洲殁。</t>
  </si>
  <si>
    <t>M000291</t>
  </si>
  <si>
    <t>宏温</t>
  </si>
  <si>
    <t>1787.4.29</t>
  </si>
  <si>
    <t>丁未年四月廿九</t>
  </si>
  <si>
    <t>M000291W01</t>
  </si>
  <si>
    <t>字学蕴。生乾隆丁未（1787年）四月二十九日。配彭氏，生乾隆丙午（1786年）七月初十。子一：垂奎。</t>
  </si>
  <si>
    <t>M000292</t>
  </si>
  <si>
    <t>宏良</t>
  </si>
  <si>
    <t>1814.8.21</t>
  </si>
  <si>
    <t>清朝嘉庆十九年</t>
  </si>
  <si>
    <t>甲戌年八月廿一</t>
  </si>
  <si>
    <t>字贯蕴。生嘉庆甲戌（1814年）八月二十一日已。</t>
  </si>
  <si>
    <t>M000293</t>
  </si>
  <si>
    <t>宏模</t>
  </si>
  <si>
    <t>字荣望。生嘉庆甲戌年八月二十一日。</t>
  </si>
  <si>
    <t>M000294</t>
  </si>
  <si>
    <t>宏觐</t>
  </si>
  <si>
    <t>1781.9.23</t>
  </si>
  <si>
    <t>辛丑年九月廿三</t>
  </si>
  <si>
    <t>字国望。生乾隆辛丑（1781年）九月二十三日。</t>
  </si>
  <si>
    <t>M000295</t>
  </si>
  <si>
    <t>宏禄</t>
  </si>
  <si>
    <t>西沅铺毡形左</t>
  </si>
  <si>
    <t>1742.10.11</t>
  </si>
  <si>
    <t>壬戌年十月十一</t>
  </si>
  <si>
    <t>1793.1.28</t>
  </si>
  <si>
    <t>癸丑年元月廿八</t>
  </si>
  <si>
    <t>M000295W01</t>
  </si>
  <si>
    <t>字贯行。生乾隆壬戌（1742年）十月十一日。殁乾隆癸丑（1793年）正月二十八日，葬西沅铺毡形左。配彭氏，生乾隆己巳（1794年）十二月初三。子二：垂瑜、垂珅。</t>
  </si>
  <si>
    <t>M000296</t>
  </si>
  <si>
    <t>垂勲</t>
  </si>
  <si>
    <t>1761.8.12</t>
  </si>
  <si>
    <t>辛巳年八月十二</t>
  </si>
  <si>
    <t>M000296W01</t>
  </si>
  <si>
    <t>字毓谟。生乾隆辛巳（1761年）八月十二日。配李氏，生乾隆乙未（1775年）六月二十二日。子二：星戬、星恩。</t>
  </si>
  <si>
    <t>M000297</t>
  </si>
  <si>
    <t>垂享</t>
  </si>
  <si>
    <t>1787.12.19</t>
  </si>
  <si>
    <t>丁未年十二月十九</t>
  </si>
  <si>
    <t>字误码谟。生乾隆丁未（1787年）十二月十九日戌时。</t>
  </si>
  <si>
    <t>M000298</t>
  </si>
  <si>
    <t>垂祀</t>
  </si>
  <si>
    <t>1790.4.20</t>
  </si>
  <si>
    <t>清朝乾隆五十五年</t>
  </si>
  <si>
    <t>庚戌年四月二十</t>
  </si>
  <si>
    <t>字舜谟。生乾隆庚戌（1790年）四月二十日午时。</t>
  </si>
  <si>
    <t>M000299</t>
  </si>
  <si>
    <t>垂德</t>
  </si>
  <si>
    <t>1779.8.20</t>
  </si>
  <si>
    <t>清朝乾隆四十四年</t>
  </si>
  <si>
    <t>己亥年八月二十</t>
  </si>
  <si>
    <t>M000299W01</t>
  </si>
  <si>
    <t>邓氏</t>
  </si>
  <si>
    <t>字本崇。生乾隆己亥（1779年）八月二十日。配邓氏，生乾隆壬寅（1782年）四月三十日。子二：星袍、星环。</t>
  </si>
  <si>
    <t>M000300</t>
  </si>
  <si>
    <t>垂徽</t>
  </si>
  <si>
    <t>1783.5.21</t>
  </si>
  <si>
    <t>癸卯年五月廿一</t>
  </si>
  <si>
    <t>字寿怀。生乾隆癸卯（1783年）五月二十一日。</t>
  </si>
  <si>
    <t>M000301</t>
  </si>
  <si>
    <t>垂冠</t>
  </si>
  <si>
    <t>1801.11.24</t>
  </si>
  <si>
    <t>清朝嘉庆六年</t>
  </si>
  <si>
    <t>辛酉年十一月廿四</t>
  </si>
  <si>
    <t>M000301W01</t>
  </si>
  <si>
    <t>嘉庆丁巳（1797年）九月二十五日。配刘氏，生嘉庆辛酉（1801年）十一月二十四日。</t>
  </si>
  <si>
    <t>M000302</t>
  </si>
  <si>
    <t>垂征</t>
  </si>
  <si>
    <t>1782.6.11</t>
  </si>
  <si>
    <t>壬寅年六月十一</t>
  </si>
  <si>
    <t>字兴怀。生乾隆壬寅（1782年）六月十一日。</t>
  </si>
  <si>
    <t>M000303</t>
  </si>
  <si>
    <t>垂彻</t>
  </si>
  <si>
    <t>1786.11.24</t>
  </si>
  <si>
    <t>丙午年十一月廿四</t>
  </si>
  <si>
    <t>生乾隆丙午（1786年）十一月二十四日。</t>
  </si>
  <si>
    <t>M000304</t>
  </si>
  <si>
    <t>垂衢</t>
  </si>
  <si>
    <t>1782.12.25</t>
  </si>
  <si>
    <t>壬寅年十二月廿五</t>
  </si>
  <si>
    <t>字璞怀。生乾隆壬寅（1782年）十二月二十五日。</t>
  </si>
  <si>
    <t>M000305</t>
  </si>
  <si>
    <t>垂教</t>
  </si>
  <si>
    <t>1796.12.2</t>
  </si>
  <si>
    <t>丙辰年十二月初二</t>
  </si>
  <si>
    <t>生嘉庆丙辰（1796年）十二月初二。</t>
  </si>
  <si>
    <t>M000306</t>
  </si>
  <si>
    <t>垂裕</t>
  </si>
  <si>
    <t>1774.12.23</t>
  </si>
  <si>
    <t>甲午年十二月廿三</t>
  </si>
  <si>
    <t>1808.1.13</t>
  </si>
  <si>
    <t>清朝嘉庆十三年</t>
  </si>
  <si>
    <t>戊辰年元月十三</t>
  </si>
  <si>
    <t>M000306W01</t>
  </si>
  <si>
    <t>字毓槐。生乾隆甲午（1774年）十二月二十三日。殁嘉庆戊辰（1804年）正月十三日。配肖氏。</t>
  </si>
  <si>
    <t>M000307</t>
  </si>
  <si>
    <t>垂斌</t>
  </si>
  <si>
    <t>1781.1.30</t>
  </si>
  <si>
    <t>辛丑年元月三十</t>
  </si>
  <si>
    <t>M000307W01</t>
  </si>
  <si>
    <t>字亮怀。生乾隆辛丑（1781年）正月三十日。配刘氏，生乾隆癸卯（1783年）二月二十五日。</t>
  </si>
  <si>
    <t>M000308</t>
  </si>
  <si>
    <t>垂赋</t>
  </si>
  <si>
    <t>1784.3.28</t>
  </si>
  <si>
    <t>甲辰年三月廿八</t>
  </si>
  <si>
    <t>字韶怀。生乾隆甲辰（1784年）三月二十八日。</t>
  </si>
  <si>
    <t>M000309</t>
  </si>
  <si>
    <t>垂鹉</t>
  </si>
  <si>
    <t>1786.11.11</t>
  </si>
  <si>
    <t>丙午年十一月十一</t>
  </si>
  <si>
    <t>字宝怀。生乾隆丙午（1786年）十一月十一日。</t>
  </si>
  <si>
    <t>M000310</t>
  </si>
  <si>
    <t>垂赣</t>
  </si>
  <si>
    <t>1789.12.27</t>
  </si>
  <si>
    <t>己酉年十二月廿七</t>
  </si>
  <si>
    <t>字德怀。生乾隆己酉（1789年）十二月二十七日。</t>
  </si>
  <si>
    <t>M000311</t>
  </si>
  <si>
    <t>垂诘</t>
  </si>
  <si>
    <t>1789.4.22</t>
  </si>
  <si>
    <t>己酉年四月廿二</t>
  </si>
  <si>
    <t>M000311W01</t>
  </si>
  <si>
    <t>字珍怀。生乾隆己酉（1789年）四月二十二日。配李氏，生嘉庆己未（1799年）十一月二十日。子三：星善、星奎、星德。星善生道光戊子（1828年），星奎生道光壬辰（1832年）九月初四日，星德生道光于酉（1837年）。</t>
  </si>
  <si>
    <t>M000312</t>
  </si>
  <si>
    <t>垂笺</t>
  </si>
  <si>
    <t>1783.12.26</t>
  </si>
  <si>
    <t>癸卯年十二月廿六</t>
  </si>
  <si>
    <t>字松华。生乾隆癸卯（1783年）十二月二十六日。出继信公位下法耀后。</t>
  </si>
  <si>
    <t>M000313</t>
  </si>
  <si>
    <t>垂笙</t>
  </si>
  <si>
    <t>1790.1.7</t>
  </si>
  <si>
    <t>庚戌年元月初七</t>
  </si>
  <si>
    <t>字焕超。生乾隆庚戌（1790年）正月初七日。</t>
  </si>
  <si>
    <t>M000314</t>
  </si>
  <si>
    <t>垂策</t>
  </si>
  <si>
    <t>1791.10.16</t>
  </si>
  <si>
    <t>清朝乾隆五十六年</t>
  </si>
  <si>
    <t>辛亥年十月十六</t>
  </si>
  <si>
    <t>字裕超。生乾隆辛亥（1791年）十月十六日。</t>
  </si>
  <si>
    <t>M000315</t>
  </si>
  <si>
    <t>垂筦</t>
  </si>
  <si>
    <t>1794.12.11</t>
  </si>
  <si>
    <t>清朝乾隆五十九年</t>
  </si>
  <si>
    <t>甲寅年十二月十一</t>
  </si>
  <si>
    <t>字庆超。生乾隆甲寅（1794年）十二月十一日。</t>
  </si>
  <si>
    <t>M000316</t>
  </si>
  <si>
    <t>开桂</t>
  </si>
  <si>
    <t>1782.9.13</t>
  </si>
  <si>
    <t>壬寅年九月十三</t>
  </si>
  <si>
    <t>字惠超。生乾隆壬寅（1782年）九月十三日。</t>
  </si>
  <si>
    <t>M000317</t>
  </si>
  <si>
    <t>垂昆</t>
  </si>
  <si>
    <t>1807.5.11</t>
  </si>
  <si>
    <t>清朝嘉庆十二年</t>
  </si>
  <si>
    <t>丁卯年五月十一</t>
  </si>
  <si>
    <t>生嘉庆丁卯（1807年）五月十一日。</t>
  </si>
  <si>
    <t>M000318</t>
  </si>
  <si>
    <t>垂冕</t>
  </si>
  <si>
    <t>1812.9.19</t>
  </si>
  <si>
    <t>清朝嘉庆十七年</t>
  </si>
  <si>
    <t>壬申年九月十九</t>
  </si>
  <si>
    <t>生嘉庆壬申年九月十九日。</t>
  </si>
  <si>
    <t>M000319</t>
  </si>
  <si>
    <t>郁才</t>
  </si>
  <si>
    <t>M000319W01</t>
  </si>
  <si>
    <t>配陈氏。子三：小四、小五、小再。</t>
  </si>
  <si>
    <t>M000320</t>
  </si>
  <si>
    <t>耀祖</t>
  </si>
  <si>
    <t>1789.9.26</t>
  </si>
  <si>
    <t>己酉年九月廿六</t>
  </si>
  <si>
    <t>1809.7.23</t>
  </si>
  <si>
    <t>清朝嘉庆十四年</t>
  </si>
  <si>
    <t>己巳年七月廿三</t>
  </si>
  <si>
    <t>生乾隆己酉（1789年）九月二十六日。殁嘉庆己巳（1809年）七月二十三日。</t>
  </si>
  <si>
    <t>M000321</t>
  </si>
  <si>
    <t>垂远</t>
  </si>
  <si>
    <t>1810.4.23</t>
  </si>
  <si>
    <t>清朝嘉庆十五年</t>
  </si>
  <si>
    <t>庚午年四月廿三</t>
  </si>
  <si>
    <t>生嘉庆庚午（1810年）四月二十三日。</t>
  </si>
  <si>
    <t>M000322</t>
  </si>
  <si>
    <t>垂辅</t>
  </si>
  <si>
    <t>M000322W01</t>
  </si>
  <si>
    <t>配孙氏。</t>
  </si>
  <si>
    <t>M000323</t>
  </si>
  <si>
    <t>垂弼</t>
  </si>
  <si>
    <t>M000324</t>
  </si>
  <si>
    <t>垂简</t>
  </si>
  <si>
    <t>1771.1.1</t>
  </si>
  <si>
    <t>清朝乾隆三十六年</t>
  </si>
  <si>
    <t>辛卯年元月初一</t>
  </si>
  <si>
    <t>字仲完。生乾隆辛卯（1771年，注：年代存疑）十二月初九日。</t>
  </si>
  <si>
    <t>M000325</t>
  </si>
  <si>
    <t>垂簠</t>
  </si>
  <si>
    <t>1790.10.26</t>
  </si>
  <si>
    <t>庚戌年十月廿六</t>
  </si>
  <si>
    <t>M000325W01</t>
  </si>
  <si>
    <t>字器宽。生乾隆庚戌丙午（1786年）十月二十六日。配李氏，生乾隆癸丑（1793年）六月初九日。</t>
  </si>
  <si>
    <t>M000326</t>
  </si>
  <si>
    <t>垂簋</t>
  </si>
  <si>
    <t>1790.3.29</t>
  </si>
  <si>
    <t>庚戌年三月廿九</t>
  </si>
  <si>
    <t>字御宽。生乾隆庚戌（1790年）三月二十九日。</t>
  </si>
  <si>
    <t>M000327</t>
  </si>
  <si>
    <t>垂奎</t>
  </si>
  <si>
    <t>1813.11.25</t>
  </si>
  <si>
    <t>清朝嘉庆十八年</t>
  </si>
  <si>
    <t>癸酉年十一月廿五</t>
  </si>
  <si>
    <t>字福垣。生嘉庆癸酉（1813年）十一月二十五日。</t>
  </si>
  <si>
    <t>M000328</t>
  </si>
  <si>
    <t>垂瑛</t>
  </si>
  <si>
    <t>子二：明照、福照。</t>
  </si>
  <si>
    <t>M000329</t>
  </si>
  <si>
    <t>垂瑜</t>
  </si>
  <si>
    <t>1773.9.28</t>
  </si>
  <si>
    <t>癸巳年九月廿八</t>
  </si>
  <si>
    <t>M000329W01</t>
  </si>
  <si>
    <t>字用宽。生乾隆癸巳（1773年）九月二十八日。配刘氏，生乾隆辛丑（1781年）九月二十五日。子一：星照，生公立庆庚午（1811年）。</t>
  </si>
  <si>
    <t>M000330</t>
  </si>
  <si>
    <t>垂珅</t>
  </si>
  <si>
    <t>1784.2.10</t>
  </si>
  <si>
    <t>甲辰年二月初十</t>
  </si>
  <si>
    <t>M000330W01</t>
  </si>
  <si>
    <t>字佩宽。生乾隆甲辰（1784年）二月初十日。配刘氏，生乾隆甲寅九月十九日。</t>
  </si>
  <si>
    <t>M000331</t>
  </si>
  <si>
    <t>星戬</t>
  </si>
  <si>
    <t>31</t>
  </si>
  <si>
    <t>M000332</t>
  </si>
  <si>
    <t>星恩</t>
  </si>
  <si>
    <t>M000333</t>
  </si>
  <si>
    <t>星袍</t>
  </si>
  <si>
    <t>M000334</t>
  </si>
  <si>
    <t>星环</t>
  </si>
  <si>
    <t>M000335</t>
  </si>
  <si>
    <t>星照</t>
  </si>
  <si>
    <t>M000336</t>
  </si>
  <si>
    <t>星善</t>
  </si>
  <si>
    <t>1828.1.1</t>
  </si>
  <si>
    <t>清朝道光八年</t>
  </si>
  <si>
    <t>戊子年元月初一</t>
  </si>
  <si>
    <t>生道光戊子（1828年）。</t>
  </si>
  <si>
    <t>M000337</t>
  </si>
  <si>
    <t>星奎</t>
  </si>
  <si>
    <t>1832.9.4</t>
  </si>
  <si>
    <t>清朝道光十二年</t>
  </si>
  <si>
    <t>壬辰年九月初四</t>
  </si>
  <si>
    <t>生道光壬辰（1832年）九月初四日。</t>
  </si>
  <si>
    <t>M000338</t>
  </si>
  <si>
    <t>星德</t>
  </si>
  <si>
    <t>1837.1.1</t>
  </si>
  <si>
    <t>清朝道光十七年</t>
  </si>
  <si>
    <t>丁酉年元月初一</t>
  </si>
  <si>
    <t>生道光丁酉（1837年）。</t>
  </si>
  <si>
    <t>M000339</t>
  </si>
  <si>
    <t>页全</t>
  </si>
  <si>
    <t>M000339W01</t>
  </si>
  <si>
    <t>岩氏春娘</t>
  </si>
  <si>
    <t>配岩氏春娘，殁七月十八日，同葬香炉山。</t>
  </si>
  <si>
    <t>M000340</t>
  </si>
  <si>
    <t>苏全</t>
  </si>
  <si>
    <t>M000340W01</t>
  </si>
  <si>
    <t>刘氏五娘</t>
  </si>
  <si>
    <t>配刘氏五娘，同葬香炉山。子五：香秀、现秀、升秀、恒秀、完秀。</t>
  </si>
  <si>
    <t>M000341</t>
  </si>
  <si>
    <t>连怀</t>
  </si>
  <si>
    <t>葬香炉山。子二：真秀、祥秀。</t>
  </si>
  <si>
    <t>M000342</t>
  </si>
  <si>
    <t>义全</t>
  </si>
  <si>
    <t>葬香炉山。子二：猫秀、云秀。</t>
  </si>
  <si>
    <t>M000343</t>
  </si>
  <si>
    <t>永怀</t>
  </si>
  <si>
    <t>葬香炉山。子一：志秀。</t>
  </si>
  <si>
    <t>M000344</t>
  </si>
  <si>
    <t>明照</t>
  </si>
  <si>
    <t>M000344W01</t>
  </si>
  <si>
    <t>刘氏占娘</t>
  </si>
  <si>
    <t>配刘氏占娘，同葬新源太坪。子四：万峯、儒峯、纪峯、雨峯。</t>
  </si>
  <si>
    <t>M000345</t>
  </si>
  <si>
    <t>福照</t>
  </si>
  <si>
    <t>葬新源太坪。子一：锦连。</t>
  </si>
  <si>
    <t>M000346</t>
  </si>
  <si>
    <t>香秀</t>
  </si>
  <si>
    <t>葬香炉山。女三：益珠、有珠、六珠。</t>
  </si>
  <si>
    <t>M000347</t>
  </si>
  <si>
    <t>现秀</t>
  </si>
  <si>
    <t>葬香炉山。子一：元兴，女三。</t>
  </si>
  <si>
    <t>M000348</t>
  </si>
  <si>
    <t>升秀</t>
  </si>
  <si>
    <t>葬香炉山。子一：明兴。</t>
  </si>
  <si>
    <t>M000349</t>
  </si>
  <si>
    <t>恒秀</t>
  </si>
  <si>
    <t>葬香炉山。子一：林兴。</t>
  </si>
  <si>
    <t>M000350</t>
  </si>
  <si>
    <t>完秀</t>
  </si>
  <si>
    <t>十月十五日</t>
  </si>
  <si>
    <t>M000350W01</t>
  </si>
  <si>
    <t>吴氏长娘</t>
  </si>
  <si>
    <t>殁十月十五日。配吴氏长娘，殁五月十四日，同葬香炉山。子三：桂兴、全兴、汝兴，女三：顺珠、庆珠、见珠。</t>
  </si>
  <si>
    <t>M000351</t>
  </si>
  <si>
    <t>真秀</t>
  </si>
  <si>
    <t>葬香炉山。</t>
  </si>
  <si>
    <t>M000352</t>
  </si>
  <si>
    <t>祥秀</t>
  </si>
  <si>
    <t>1971.1.1</t>
  </si>
  <si>
    <t>1971年</t>
  </si>
  <si>
    <t>辛亥年元月初一</t>
  </si>
  <si>
    <t>M000352W01</t>
  </si>
  <si>
    <t>前溪左氏细娘</t>
  </si>
  <si>
    <t>配前溪左氏细娘。殁1971年，同葬香炉山。子二：玉兴、汉兴。</t>
  </si>
  <si>
    <t>M000353</t>
  </si>
  <si>
    <t>猫秀</t>
  </si>
  <si>
    <t>肖家堆上</t>
  </si>
  <si>
    <t>葬肖家堆上。子三：才兴、远兴、佑兴，女二：雷珠、凤珠。</t>
  </si>
  <si>
    <t>M000354</t>
  </si>
  <si>
    <t>云秀</t>
  </si>
  <si>
    <t>葬香炉山。子二：圣兴、兰兴。</t>
  </si>
  <si>
    <t>M000355</t>
  </si>
  <si>
    <t>宝秀</t>
  </si>
  <si>
    <t>葬香炉山。女二：黄珠、XX。</t>
  </si>
  <si>
    <t>M000356</t>
  </si>
  <si>
    <t>志秀</t>
  </si>
  <si>
    <t>M000356W01</t>
  </si>
  <si>
    <t>洲湖廖家肖氏秋娘</t>
  </si>
  <si>
    <t>配洲湖廖家肖氏秋娘，同葬香炉山。子二：活兴、可兴。</t>
  </si>
  <si>
    <t>M000357</t>
  </si>
  <si>
    <t>万峯</t>
  </si>
  <si>
    <t>葬新源太坪。子一：宜凤。</t>
  </si>
  <si>
    <t>M000358</t>
  </si>
  <si>
    <t>儒峯</t>
  </si>
  <si>
    <t>葬新源太坪。子二：彩凤、求凤。</t>
  </si>
  <si>
    <t>M000359</t>
  </si>
  <si>
    <t>纪峯</t>
  </si>
  <si>
    <t>子一：裕才。</t>
  </si>
  <si>
    <t>M000360</t>
  </si>
  <si>
    <t>锦连</t>
  </si>
  <si>
    <t>水南人形</t>
  </si>
  <si>
    <t>M000360W01</t>
  </si>
  <si>
    <t>彭清珠沛溪村高园</t>
  </si>
  <si>
    <t>葬水南人形，配彭清珠洋门沛溪村高园。子一：东顺。</t>
  </si>
  <si>
    <t>M000361</t>
  </si>
  <si>
    <t>雨峯</t>
  </si>
  <si>
    <t>M000361W01</t>
  </si>
  <si>
    <t>上城成阁刘氏</t>
  </si>
  <si>
    <t>葬水南人形，配上城成阁刘氏。子三：福顺、禄顺、邦顺。女五：林珠、细珠、三珠、伍珠、满珠。</t>
  </si>
  <si>
    <t>M000362</t>
  </si>
  <si>
    <t>七秀</t>
  </si>
  <si>
    <t>1882.12.1</t>
  </si>
  <si>
    <t>清朝光绪八年</t>
  </si>
  <si>
    <t>壬午年十二月初一</t>
  </si>
  <si>
    <t>1954.2.25</t>
  </si>
  <si>
    <t>1954年</t>
  </si>
  <si>
    <t>甲午年二月廿五</t>
  </si>
  <si>
    <t>M000362W01</t>
  </si>
  <si>
    <t>罗康连</t>
  </si>
  <si>
    <t>生光绪壬午（1882年）十二月初一日。殁1954年二月十五日，葬香炉山。配罗康连。子一：长兴，女二：秀英、圣英。</t>
  </si>
  <si>
    <t>M000363</t>
  </si>
  <si>
    <t>八秀</t>
  </si>
  <si>
    <t>1889.10.21</t>
  </si>
  <si>
    <t>清朝光绪十五年</t>
  </si>
  <si>
    <t>己丑年十月廿一</t>
  </si>
  <si>
    <t>M000363W01</t>
  </si>
  <si>
    <t>李雪英</t>
  </si>
  <si>
    <t>殁己丑（1889年）十月二十一日，葬于香炉山。配李雪英，女一：足珠。</t>
  </si>
  <si>
    <t>M000364</t>
  </si>
  <si>
    <t>龙秀</t>
  </si>
  <si>
    <t>M000364W01</t>
  </si>
  <si>
    <t>上城刘龙英</t>
  </si>
  <si>
    <t>葬香炉山，配上城刘龙英。子三：顺兴、仁兴、正兴。</t>
  </si>
  <si>
    <t>M000365</t>
  </si>
  <si>
    <t>林兴</t>
  </si>
  <si>
    <t>33</t>
  </si>
  <si>
    <t>葬香炉山。子一：子香。</t>
  </si>
  <si>
    <t>M000366</t>
  </si>
  <si>
    <t>元兴</t>
  </si>
  <si>
    <t>殁1958年，葬香炉山。子二：乐香、记香，女二：金珠、掌英。</t>
  </si>
  <si>
    <t>M000367</t>
  </si>
  <si>
    <t>明兴</t>
  </si>
  <si>
    <t>M000367W01</t>
  </si>
  <si>
    <t>刘氏回娘</t>
  </si>
  <si>
    <t>配刘氏回娘，同葬香炉山，女一：喜珠。</t>
  </si>
  <si>
    <t>M000368</t>
  </si>
  <si>
    <t>桂兴</t>
  </si>
  <si>
    <t>1890.11.23</t>
  </si>
  <si>
    <t>清朝光绪十六年</t>
  </si>
  <si>
    <t>庚寅年十一月廿三</t>
  </si>
  <si>
    <t>1964.1.1</t>
  </si>
  <si>
    <t>1964年</t>
  </si>
  <si>
    <t>甲辰年元月初一</t>
  </si>
  <si>
    <t>M000368W01</t>
  </si>
  <si>
    <t>彭坊烟头王氏秀英</t>
  </si>
  <si>
    <t>生光绪庚寅（1890年）十一月二十三亥时。殁1964年，十一月初十日，葬香炉山。配彭坊烟头王氏秀英，生光绪丁未（1907年）十月二十六日子时，殁1972年正月二十四日卯时，葬香炉山。子一：冬香，女二：玉珠、足珠。</t>
  </si>
  <si>
    <t>M000369</t>
  </si>
  <si>
    <t>全兴</t>
  </si>
  <si>
    <t>1900.1.1</t>
  </si>
  <si>
    <t>清朝光绪二十六年</t>
  </si>
  <si>
    <t>庚子年元月初一</t>
  </si>
  <si>
    <t>1932.1.1</t>
  </si>
  <si>
    <t>1932年</t>
  </si>
  <si>
    <t>M000369W01</t>
  </si>
  <si>
    <t>下沧洲张氏书珠</t>
  </si>
  <si>
    <t>生1900年。殁1932年，葬香炉山。配下沧洲张氏书珠，生1908年十一月二十七日，殁1991年九月初三日。葬香炉山。子二：建香、三香。</t>
  </si>
  <si>
    <t>M000370</t>
  </si>
  <si>
    <t>汝兴</t>
  </si>
  <si>
    <t>出嗣。本乡坊下村，改姓彭，后不立系。</t>
  </si>
  <si>
    <t>M000371</t>
  </si>
  <si>
    <t>玉兴</t>
  </si>
  <si>
    <t>1920.1.1</t>
  </si>
  <si>
    <t>民国九年</t>
  </si>
  <si>
    <t>庚申年元月初一</t>
  </si>
  <si>
    <t>1948.1.1</t>
  </si>
  <si>
    <t>1948年</t>
  </si>
  <si>
    <t>M000371W01</t>
  </si>
  <si>
    <t>下沧洲旷氏掌娘</t>
  </si>
  <si>
    <t>殁1948年。配下沧洲旷氏掌娘，生1920年，殁1999年，同葬香炉山。子二：要香、安香，女二：斟英、满英。</t>
  </si>
  <si>
    <t>M000372</t>
  </si>
  <si>
    <t>汉兴</t>
  </si>
  <si>
    <t>葬香炉山。子一：忠香。</t>
  </si>
  <si>
    <t>M000373</t>
  </si>
  <si>
    <t>宜凤</t>
  </si>
  <si>
    <t>新源太坪山</t>
  </si>
  <si>
    <t>M000373W01</t>
  </si>
  <si>
    <t>永新左坊古家古冬珠</t>
  </si>
  <si>
    <t>葬新源太坪山。配永新左坊古家古冬珠。子一：天开。</t>
  </si>
  <si>
    <t>M000374</t>
  </si>
  <si>
    <t>彩凤</t>
  </si>
  <si>
    <t>葬新源太坪山。子一：炳开。</t>
  </si>
  <si>
    <t>M000375</t>
  </si>
  <si>
    <t>求凤</t>
  </si>
  <si>
    <t>葬新源太坪山。</t>
  </si>
  <si>
    <t>M000376</t>
  </si>
  <si>
    <t>活兴</t>
  </si>
  <si>
    <t>参加红军牺牲在外。</t>
  </si>
  <si>
    <t>M000377</t>
  </si>
  <si>
    <t>兰兴</t>
  </si>
  <si>
    <t>M000378</t>
  </si>
  <si>
    <t>圣兴</t>
  </si>
  <si>
    <t>M000378W01</t>
  </si>
  <si>
    <t>堌头王氏全娘</t>
  </si>
  <si>
    <t>配堌头王氏全娘。葬香炉山。子一：天香。</t>
  </si>
  <si>
    <t>M000379</t>
  </si>
  <si>
    <t>才兴</t>
  </si>
  <si>
    <t>葬香炉山。子一：鑫香，女一：招英。</t>
  </si>
  <si>
    <t>M000380</t>
  </si>
  <si>
    <t>远兴</t>
  </si>
  <si>
    <t>生1920年，葬香炉山。</t>
  </si>
  <si>
    <t>M000381</t>
  </si>
  <si>
    <t>佑兴</t>
  </si>
  <si>
    <t>74</t>
  </si>
  <si>
    <t>1923.1.1</t>
  </si>
  <si>
    <t>1923年</t>
  </si>
  <si>
    <t>癸亥年元月初一</t>
  </si>
  <si>
    <t>1997.12.15</t>
  </si>
  <si>
    <t>1997年</t>
  </si>
  <si>
    <t>丁丑年十二月十五</t>
  </si>
  <si>
    <t>M000381W01</t>
  </si>
  <si>
    <t>永新左坊村左积英</t>
  </si>
  <si>
    <t>生1923年。殁1997年12月15日。葬香炉山。配永新左坊村左积英，初中文化。子二：富香、金香，女二：爱珍、有珍。</t>
  </si>
  <si>
    <t>M000382</t>
  </si>
  <si>
    <t>可兴</t>
  </si>
  <si>
    <t>1962.11.17</t>
  </si>
  <si>
    <t>1962年</t>
  </si>
  <si>
    <t>壬寅年十一月十七</t>
  </si>
  <si>
    <t>M000382W01</t>
  </si>
  <si>
    <t>永新县王春姬</t>
  </si>
  <si>
    <t>殁1962年十一月十七日，葬香炉山。配永新县王春姬。子三：得香、清香、仲香，女一：梅英。</t>
  </si>
  <si>
    <t>M000383</t>
  </si>
  <si>
    <t>裕才</t>
  </si>
  <si>
    <t>M000383W01</t>
  </si>
  <si>
    <t>刘氏招娘</t>
  </si>
  <si>
    <t>配刘氏招娘。子二：富生、荣生。居茅田村。</t>
  </si>
  <si>
    <t>M000384</t>
  </si>
  <si>
    <t>东顺</t>
  </si>
  <si>
    <t>北斗山</t>
  </si>
  <si>
    <t>1051.3.29</t>
  </si>
  <si>
    <t>北宋宋仁宗皇祐三年</t>
  </si>
  <si>
    <t>辛卯年三月廿九</t>
  </si>
  <si>
    <t>M000384W01</t>
  </si>
  <si>
    <t>刘氏满娘</t>
  </si>
  <si>
    <t>生民国癸亥1923年。殁1951年三月二十九日，葬北斗山。配本土田心，刘氏满娘。子一：辉柱。</t>
  </si>
  <si>
    <t>M000385</t>
  </si>
  <si>
    <t>福顺</t>
  </si>
  <si>
    <t>M000385W01</t>
  </si>
  <si>
    <t>刘氏龙娘</t>
  </si>
  <si>
    <t>配柘田横溪刘氏龙娘。子一：元开，女四：告珠、救珠、曼珠、斋珠。居上城垸濂。</t>
  </si>
  <si>
    <t>M000386</t>
  </si>
  <si>
    <t>禄顺</t>
  </si>
  <si>
    <t>殁长征路上，现为烈士。</t>
  </si>
  <si>
    <t>M000387</t>
  </si>
  <si>
    <t>邦顺</t>
  </si>
  <si>
    <t>乌龟亭</t>
  </si>
  <si>
    <t>M000387W01</t>
  </si>
  <si>
    <t>刘转珠</t>
  </si>
  <si>
    <t>葬乌龟亭，配金田罗坂刘转珠。子一：正开。居上城垸濂。</t>
  </si>
  <si>
    <t>M000388</t>
  </si>
  <si>
    <t>长兴</t>
  </si>
  <si>
    <t>1905.11.24</t>
  </si>
  <si>
    <t>清朝光绪三十一年</t>
  </si>
  <si>
    <t>乙巳年十一月廿四</t>
  </si>
  <si>
    <t>1942.11.24</t>
  </si>
  <si>
    <t>1942年</t>
  </si>
  <si>
    <t>壬午年十一月廿四</t>
  </si>
  <si>
    <t>M000388W01</t>
  </si>
  <si>
    <t>刘金珠</t>
  </si>
  <si>
    <t>生光绪乙巳（1905年）十一月二十四日。殁壬午年十一月二十四日。葬香炉山，配本土田心刘金珠。子二：满香、清香；女一：桂英。</t>
  </si>
  <si>
    <t>M000389</t>
  </si>
  <si>
    <t>顺兴</t>
  </si>
  <si>
    <t>M000389W01</t>
  </si>
  <si>
    <t>彭黄英</t>
  </si>
  <si>
    <t>配沛溪彭黄英，女一：棉英，适加溪王文先。本人早逝，本村下沧洲刘炳生入赘。子三：润香、柱才、洪香，女三：海兰、细兰、秋兰。</t>
  </si>
  <si>
    <t>M001000</t>
  </si>
  <si>
    <t>华</t>
  </si>
  <si>
    <t>德裕堂</t>
  </si>
  <si>
    <t>板背人形</t>
  </si>
  <si>
    <t>65</t>
  </si>
  <si>
    <t>1453.8.24</t>
  </si>
  <si>
    <t>明朝景泰四年</t>
  </si>
  <si>
    <t>癸酉年八月廿四</t>
  </si>
  <si>
    <t>1518.7.26</t>
  </si>
  <si>
    <t>明朝正德十三年</t>
  </si>
  <si>
    <t>戊寅年七月廿六</t>
  </si>
  <si>
    <t>M001000W01</t>
  </si>
  <si>
    <t>德裕堂祖</t>
  </si>
  <si>
    <t>字广荣，号锦堂房，名德裕堂，生明景泰四年癸酉（1453年）八月二十四日，殁正德戊寅（1518年）七月二十六日，葬板背人形寅山申向。配贺氏，生景泰甲戌（1454年）三月初三日，葬人形寅山申向。子三：通、迪、达。</t>
  </si>
  <si>
    <t>M001001</t>
  </si>
  <si>
    <t>通</t>
  </si>
  <si>
    <t>寓居四川。</t>
  </si>
  <si>
    <t>M001002</t>
  </si>
  <si>
    <t>迪</t>
  </si>
  <si>
    <t>M001002W01</t>
  </si>
  <si>
    <t>字秀昌，配龙氏。</t>
  </si>
  <si>
    <t>M001003</t>
  </si>
  <si>
    <t>达</t>
  </si>
  <si>
    <t>对门岭龙形</t>
  </si>
  <si>
    <t>1464.2.16</t>
  </si>
  <si>
    <t>甲申年二月十六</t>
  </si>
  <si>
    <t>M001003W01</t>
  </si>
  <si>
    <t>字秀豁，生天顺甲申（1464年）二月十六日，葬对门岭龙形巳山亥向。配张氏，生天顺七年癸未（1463年），葬龙形巳山亥向。子一：宗茂。</t>
  </si>
  <si>
    <t>M001004</t>
  </si>
  <si>
    <t>宗茂</t>
  </si>
  <si>
    <t>犬形</t>
  </si>
  <si>
    <t>1490.6.19</t>
  </si>
  <si>
    <t>明朝弘治三年</t>
  </si>
  <si>
    <t>庚戌年六月十九</t>
  </si>
  <si>
    <t>M001004W01</t>
  </si>
  <si>
    <t>字盛辉，生弘治庚戌（1490年）六月十九日。配李氏，生弘治辛亥（1491年）三月二十五日，殁合葬犬形艮山坤向。子三：元赞、五赞、七赞。</t>
  </si>
  <si>
    <t>M001005</t>
  </si>
  <si>
    <t>元赞</t>
  </si>
  <si>
    <t>M001005W01</t>
  </si>
  <si>
    <t>葬本里板背凤形癸山丁向，配王氏，合葬凤形。子一：莹珠。</t>
  </si>
  <si>
    <t>M001006</t>
  </si>
  <si>
    <t>五赞</t>
  </si>
  <si>
    <t>本里板背凤形</t>
  </si>
  <si>
    <t>1509.10.24</t>
  </si>
  <si>
    <t>己巳年十月廿四</t>
  </si>
  <si>
    <t>1574.8.19</t>
  </si>
  <si>
    <t>明朝万历二年</t>
  </si>
  <si>
    <t>甲戌年八月十九</t>
  </si>
  <si>
    <t>M001006W01</t>
  </si>
  <si>
    <t>字翊勷，生明正清四（1509年）十月二十四日，殁万历甲戌（1574年）八月十九日，葬本里板背凤形癸山丁向。配永新承口肖氏，生正德乙亥（1915年）二月初六日，殁万历乙卯（1579年）七月十六日，葬沙巢凤形癸山丁向。子二：贵善、晚珠。</t>
  </si>
  <si>
    <t>M001007</t>
  </si>
  <si>
    <t>七赞</t>
  </si>
  <si>
    <t>凤形上牌</t>
  </si>
  <si>
    <t>M001007W01</t>
  </si>
  <si>
    <t>葬本里板背沙巢凤形癸山丁向，配本里旷氏，同葬凤形上牌。子二：贵奉、贵凰。</t>
  </si>
  <si>
    <t>M001008</t>
  </si>
  <si>
    <t>莹珠</t>
  </si>
  <si>
    <t>早卒。</t>
  </si>
  <si>
    <t>M001009</t>
  </si>
  <si>
    <t>贵善</t>
  </si>
  <si>
    <t>1528.1.13</t>
  </si>
  <si>
    <t>明朝嘉靖七年</t>
  </si>
  <si>
    <t>戊子年元月十三</t>
  </si>
  <si>
    <t>1596.12.3</t>
  </si>
  <si>
    <t>明朝万历二十四年</t>
  </si>
  <si>
    <t>丙申年十二月初三</t>
  </si>
  <si>
    <t>M001009W01</t>
  </si>
  <si>
    <t>字楚尚，生嘉靖七年戊子（1528年）正月十三日，殁万历丙申（1596年）十二月初三日，葬本里板背凤形癸山丁向。配谢氏，生嘉靖乙酉（1525年）四月十八日，殁万历年壬午（1582年）十月初二日，同葬凤形。子一：慕道。</t>
  </si>
  <si>
    <t>M001010</t>
  </si>
  <si>
    <t>晚珠</t>
  </si>
  <si>
    <t>M001011</t>
  </si>
  <si>
    <t>贵奉</t>
  </si>
  <si>
    <t>本里凤形</t>
  </si>
  <si>
    <t>1555.10.2</t>
  </si>
  <si>
    <t>乙卯年十月初二</t>
  </si>
  <si>
    <t>1628.4.5</t>
  </si>
  <si>
    <t>戊辰年四月初五</t>
  </si>
  <si>
    <t>M001011W01</t>
  </si>
  <si>
    <t>生嘉靖乙卯（1555年）十月初二日，殁崇正戊辰（1628年）四月初五日。配刘氏，生嘉靖甲子（1564年）闰二月十四日，殁崇正己卯（1639年）二月十三日，同葬本里凤形。子一：慕儒。</t>
  </si>
  <si>
    <t>M001012</t>
  </si>
  <si>
    <t>贵凰</t>
  </si>
  <si>
    <t>对面岑犬形</t>
  </si>
  <si>
    <t>M001012W01</t>
  </si>
  <si>
    <t>葬对面岑犬形，配某氏。子一：慕周。</t>
  </si>
  <si>
    <t>M001013</t>
  </si>
  <si>
    <t>慕道</t>
  </si>
  <si>
    <t>本里犬形</t>
  </si>
  <si>
    <t>96</t>
  </si>
  <si>
    <t>1547.10.25</t>
  </si>
  <si>
    <t>明朝嘉靖二十六年</t>
  </si>
  <si>
    <t>丁未年十月廿五</t>
  </si>
  <si>
    <t>1643.6.1</t>
  </si>
  <si>
    <t>癸未年六月初一</t>
  </si>
  <si>
    <t>M001013W01</t>
  </si>
  <si>
    <t>字希贤、业儒，生嘉靖丁未（1547年）十月二十五日，殁崇祯癸未（1643年）六月初一日，葬本里对门岑眠犬形艮山坤向。配孟氏，生嘉靖癸丑（1553年）九月二十四日，殁天启辛酉（1621年）五月初五日，同葬本里犬形。子一：受。</t>
  </si>
  <si>
    <t>M001014</t>
  </si>
  <si>
    <t>慕儒</t>
  </si>
  <si>
    <t>犬形上牌左边</t>
  </si>
  <si>
    <t>M001014W01</t>
  </si>
  <si>
    <t>配某氏，合葬犬形上牌左边。子二：爵、舜。</t>
  </si>
  <si>
    <t>M001015</t>
  </si>
  <si>
    <t>慕周</t>
  </si>
  <si>
    <t>M001015W01</t>
  </si>
  <si>
    <t>配某氏。子一：爱。</t>
  </si>
  <si>
    <t>M001016</t>
  </si>
  <si>
    <t>受</t>
  </si>
  <si>
    <t>1602.2.4</t>
  </si>
  <si>
    <t>壬寅年二月初四</t>
  </si>
  <si>
    <t>1671.2.28</t>
  </si>
  <si>
    <t>辛亥年二月廿八</t>
  </si>
  <si>
    <t>M001016W01</t>
  </si>
  <si>
    <t>沈氏</t>
  </si>
  <si>
    <t>字望宇，生万历壬寅（1602年）二月初四日，殁康熙辛亥（1671年）二月二十八日，葬本里犬形艮山坤向。配沈氏，生万历申（1608年）八月二十日，殁顺治壬辰（1652年）七月二十日，葬本里犬形。子三：正楠、启源、启凤。</t>
  </si>
  <si>
    <t>M001017</t>
  </si>
  <si>
    <t>爵</t>
  </si>
  <si>
    <t>犬形上排左边</t>
  </si>
  <si>
    <t>M001017W01</t>
  </si>
  <si>
    <t>葬犬形上排左边，配某氏，同葬犬形上排左边。子二：正棣、正梁。</t>
  </si>
  <si>
    <t>M001018</t>
  </si>
  <si>
    <t>舜</t>
  </si>
  <si>
    <t>M001018W01</t>
  </si>
  <si>
    <t>配某氏，葬凤形。子一：正柏。</t>
  </si>
  <si>
    <t>M001019</t>
  </si>
  <si>
    <t>爱</t>
  </si>
  <si>
    <t>M001019W01</t>
  </si>
  <si>
    <t>配某氏。子一：正云。</t>
  </si>
  <si>
    <t>M001020</t>
  </si>
  <si>
    <t>正楠</t>
  </si>
  <si>
    <t>本里犬形中牌</t>
  </si>
  <si>
    <t>1635.6.10</t>
  </si>
  <si>
    <t>乙亥年六月初十</t>
  </si>
  <si>
    <t>1705.10.17</t>
  </si>
  <si>
    <t>乙酉年十月十七</t>
  </si>
  <si>
    <t>M001020W01</t>
  </si>
  <si>
    <t>傅氏</t>
  </si>
  <si>
    <t>儒林郎</t>
  </si>
  <si>
    <t>字君林，例受儒林郎，生崇正乙亥（1635年）六月十日，殁康熙乙酉（1705年）十月十七日，葬本里犬形中牌。配傅氏，生崇正甲戌（1634年）十二月二十三日，殁康熙壬（1702年）十二月十四日，葬本里犬形中牌艮山坤向。子三：秉新、秉清、秉忠。</t>
  </si>
  <si>
    <t>M001021</t>
  </si>
  <si>
    <t>启源</t>
  </si>
  <si>
    <t>1638.5.10</t>
  </si>
  <si>
    <t>清朝崇德三年</t>
  </si>
  <si>
    <t>戊寅年五月初十</t>
  </si>
  <si>
    <t>1669.10.20</t>
  </si>
  <si>
    <t>己酉年十月二十</t>
  </si>
  <si>
    <t>M001021W01</t>
  </si>
  <si>
    <t>匡氏</t>
  </si>
  <si>
    <t>字日林，生崇正戊寅（1638年）五月十日，殁康熙己酉（1669年）十月二十日，葬犬形。配匡氏，子一：酉珠。</t>
  </si>
  <si>
    <t>M001022</t>
  </si>
  <si>
    <t>启凤</t>
  </si>
  <si>
    <t>犬形中排</t>
  </si>
  <si>
    <t>1628.5.2</t>
  </si>
  <si>
    <t>戊辰年五月初二</t>
  </si>
  <si>
    <t>M001022W01</t>
  </si>
  <si>
    <t>字公林，生崇正壬（1642年）五月二日，葬本里犬形中排艮山坤向。配肖氏，生顺治辛卯（1651年）七月二十八日，同葬犬形中排艮山坤向。子三：团保、同保、圆保。</t>
  </si>
  <si>
    <t>M001023</t>
  </si>
  <si>
    <t>正棣</t>
  </si>
  <si>
    <t>M001023W01</t>
  </si>
  <si>
    <t>配刘氏，葬犬形。</t>
  </si>
  <si>
    <t>M001024</t>
  </si>
  <si>
    <t>正梁</t>
  </si>
  <si>
    <t>M001025</t>
  </si>
  <si>
    <t>正柏</t>
  </si>
  <si>
    <t>M001026</t>
  </si>
  <si>
    <t>正云</t>
  </si>
  <si>
    <t>M001026W01</t>
  </si>
  <si>
    <t>配某氏，子一：图保。</t>
  </si>
  <si>
    <t>M001027</t>
  </si>
  <si>
    <t>秉新</t>
  </si>
  <si>
    <t>掌形</t>
  </si>
  <si>
    <t>1666.1.10</t>
  </si>
  <si>
    <t>丙午年元月初十</t>
  </si>
  <si>
    <t>1748.10.3</t>
  </si>
  <si>
    <t>戊辰年十月初三</t>
  </si>
  <si>
    <t>M001027W01</t>
  </si>
  <si>
    <t>儒林郎(赠)</t>
  </si>
  <si>
    <t>字千亮，号真球，以子勅赠儒林郎，生平乐善喜施，潭源茶亭，加洒砖枋及鼎宗庙塑梵刹俱捐重赀，县志传详，生康熙五年丙午（1666年）一月十日，殁乾隆戊辰（1748年）十月三日，葬潭源掌形癸丁向。配龙氏，勅赠安人，生康熙十年辛亥（1671年）三月二十二日，殁乾隆己巳（1749年）九月二十四日，同葬掌形癸山丁向。子二：孟春、朝干。</t>
  </si>
  <si>
    <t>M001028</t>
  </si>
  <si>
    <t>秉清</t>
  </si>
  <si>
    <t>本里犬形下排</t>
  </si>
  <si>
    <t>1669.9.29</t>
  </si>
  <si>
    <t>己酉年九月廿九</t>
  </si>
  <si>
    <t>1739.12.8</t>
  </si>
  <si>
    <t>己未年十二月初八</t>
  </si>
  <si>
    <t>M001028W01</t>
  </si>
  <si>
    <t>字沧水，号真瑶，英敏无值孝友性，成年十六持齐血湖九载，倡复中和堂，乐输百两，生康熙己酉（1669年）九月二十九日，岁在戊午（1738年）寿七十，蓝山县令金田王图为序，殁乾隆己未（1739年）十二月八日，葬本里犬形下排艮坤向。配刘氏，生康熙戊申（1688年）三月二十五日，岁在丁丑（1757年）寿七十，娄县令金田刘友彬赠以懿德天寿，殁乾隆戊寅（1758年）十月十日，葬潭源掌形中牌癸山丁向。子四：国瑞、应侯、国湖、命侯。</t>
  </si>
  <si>
    <t>M001029</t>
  </si>
  <si>
    <t>秉忠</t>
  </si>
  <si>
    <t>1673.11.5</t>
  </si>
  <si>
    <t>癸丑年十一月初五</t>
  </si>
  <si>
    <t>1733.6.29</t>
  </si>
  <si>
    <t>清朝雍正十一年</t>
  </si>
  <si>
    <t>癸丑年六月廿九</t>
  </si>
  <si>
    <t>M001029W01</t>
  </si>
  <si>
    <t>字汉三，素性刚方才识遇举，生康熙癸丑（1673年）十一月五日，六十寿，禾川举人，肖鸾仪为之序，殁雍正癸丑（1733年）六月二十九日。配刘氏，生康熙丙辰（1676年）二月二十一日，殁乾隆癸酉（1753年）二月十七日，合葬掌形癸丁向。子二：国兴、国璋。</t>
  </si>
  <si>
    <t>M001030</t>
  </si>
  <si>
    <t>酉珠</t>
  </si>
  <si>
    <t>字贵则，出商四川建昌，娶妻生育成籍。</t>
  </si>
  <si>
    <t>M001031</t>
  </si>
  <si>
    <t>团保</t>
  </si>
  <si>
    <t>对门岑龙形</t>
  </si>
  <si>
    <t>1680.3.2</t>
  </si>
  <si>
    <t>庚申年三月初二</t>
  </si>
  <si>
    <t>1746.1.1</t>
  </si>
  <si>
    <t>丙寅年元月初一</t>
  </si>
  <si>
    <t>M001031W01</t>
  </si>
  <si>
    <t>消氏</t>
  </si>
  <si>
    <t>字协三，生康熙庚申（1680年）三月初二日，殁乾隆丙寅（1746年），葬对门岑龙形亥巳向。配消氏，子一：国政。</t>
  </si>
  <si>
    <t>M001032</t>
  </si>
  <si>
    <t>同保</t>
  </si>
  <si>
    <t>1684.2.14</t>
  </si>
  <si>
    <t>甲子年二月十四</t>
  </si>
  <si>
    <t>生康熙癸亥（1683年）二月十四日。</t>
  </si>
  <si>
    <t>M001033</t>
  </si>
  <si>
    <t>圆保</t>
  </si>
  <si>
    <t>1688.7.13</t>
  </si>
  <si>
    <t>戊辰年七月十三</t>
  </si>
  <si>
    <t>字协亮，生康熙戊辰（1688年）七月十三日。</t>
  </si>
  <si>
    <t>M001034</t>
  </si>
  <si>
    <t>图保</t>
  </si>
  <si>
    <t>M001034W01</t>
  </si>
  <si>
    <t>配某氏，子一：赤伟。</t>
  </si>
  <si>
    <t>M001035</t>
  </si>
  <si>
    <t>孟春</t>
  </si>
  <si>
    <t>M001036</t>
  </si>
  <si>
    <t>朝干</t>
  </si>
  <si>
    <t>潭源月形右圈</t>
  </si>
  <si>
    <t>1709.7.3</t>
  </si>
  <si>
    <t>清朝康熙四十八年</t>
  </si>
  <si>
    <t>己丑年七月初三</t>
  </si>
  <si>
    <t>1754.4.12</t>
  </si>
  <si>
    <t>甲戌年四月十二</t>
  </si>
  <si>
    <t>M001036W01,M001036W02,M001036W03</t>
  </si>
  <si>
    <t>肖氏_x000D__x000D_
尹氏_x000D__x000D_
张氏</t>
  </si>
  <si>
    <t>岁贡生</t>
  </si>
  <si>
    <t>字廷载，号皋飓，行名国村，治书经，岁贡生，六次棘闱甲子呈荐丙寅督学全科取一等第一，后奉倒勅授儒林郎，郎选州国知本邑学正学教习杨公纯璞褒，勅赠匾四世耀褒荣，生平懿行郡邑志乘列传详明，生康熙己丑（1685年）七月三日，殁乾隆己卯（1795年）四月十二日，葬于潭源月形右圈艮山坤向。配肖氏，勅赠安人，生康熙丁亥（1707年）十月二十五日，殁乾隆乙丑（公四1745年）八月六日，葬犬形艮山坤向，生：永升、永昂。次配尹氏，生康熙癸巳（1713年）闰五月二十四日，殁乾隆戊辰（1748年）四月八日，葬掌形，生：永旦。四配张氏，勅封安人，生雍正癸卯（1723年）十月五日，年六十寿翰林院旭庆暹春赠匾日比堂鹤，筹七十寿余。干教谕禾川刘垂域撰寿文于屏刊，殁嘉头己未（1799年）十二月二十九日，七十三岁而终。子八：永升、永昌、永昴、永旦、永景、永星、永晨、永昊。（阳先记：上一代的谱把生康熙己丑七月三日转换为1685年，那么他是44岁头婚娶的22岁妻子，有悖常识。康熙己丑就为1709年）</t>
  </si>
  <si>
    <t>M001037</t>
  </si>
  <si>
    <t>国瑞</t>
  </si>
  <si>
    <t>潭源掌形</t>
  </si>
  <si>
    <t>1688.8.11</t>
  </si>
  <si>
    <t>戊辰年八月十一</t>
  </si>
  <si>
    <t>1743.6.23</t>
  </si>
  <si>
    <t>癸亥年六月廿三</t>
  </si>
  <si>
    <t>M001037W01</t>
  </si>
  <si>
    <t>字轶庸，生康熙戊辰（1688年）八月十一日，殁乾隆癸亥（1743年）六月二十三日，葬于潭源掌形癸山丁向。配彭氏，生康熙辛酉（1681年）一月七日，殁乾隆丁亥（1767年）七月二日，葬上潭源百子山人形上排左巽山干向。子三：永钟、大勋、永剑。</t>
  </si>
  <si>
    <t>M001038</t>
  </si>
  <si>
    <t>应侯</t>
  </si>
  <si>
    <t>1695.3.18</t>
  </si>
  <si>
    <t>乙亥年三月十八</t>
  </si>
  <si>
    <t>1727.6.20</t>
  </si>
  <si>
    <t>清朝雍正五年</t>
  </si>
  <si>
    <t>丁未年六月二十</t>
  </si>
  <si>
    <t>M001038W01</t>
  </si>
  <si>
    <t>字锡蕃，号晋鼍，行名国珍，大学生治书经，三次秋闱有志未遂，敬承父命力建大祠，生康熙乙亥（1695年）三月十八日，殁雍正丁未（1727年）六月二十日，葬香炉山人形，后改葬掌形癸丁向。配王氏，操矢柏舟旌表真节传详邑乘，生康熙乙亥（1695年）三月二十二日，殁乾隆甲子（1744年）四月八日，同葬潭源掌形癸丁向。子二：永庆、永巨。</t>
  </si>
  <si>
    <t>M001039</t>
  </si>
  <si>
    <t>国湖</t>
  </si>
  <si>
    <t>下潭源珑源氽人形</t>
  </si>
  <si>
    <t>M001039W01</t>
  </si>
  <si>
    <t>字访贤，葬下潭源珑源氽人形。配刘氏，子一：应钟。</t>
  </si>
  <si>
    <t>M001040</t>
  </si>
  <si>
    <t>命侯</t>
  </si>
  <si>
    <t>下潭源</t>
  </si>
  <si>
    <t>1705.10.1</t>
  </si>
  <si>
    <t>乙酉年十月初一</t>
  </si>
  <si>
    <t>1757.3.25</t>
  </si>
  <si>
    <t>清朝乾隆二十二年</t>
  </si>
  <si>
    <t>丁丑年三月廿五</t>
  </si>
  <si>
    <t>M001040W01</t>
  </si>
  <si>
    <t>国学生</t>
  </si>
  <si>
    <t>字西鸣、号建屏、行名国璠，国学生，治诗经屡赴秋关荐而未售，力维大祠祀典，生康熙乙酉（1705年）十月一日朔日，殁乾隆丁丑（1757年）三月二十五日，葬下潭源癸丁向。配王氏，生康熙丁亥（1707年）八月三十日，殁乾隆己亥（1779年）八月二十三日，葬掌形下排。子五：永铎、永灿、永锐、永鉴、永焕。</t>
  </si>
  <si>
    <t>M001041</t>
  </si>
  <si>
    <t>国兴</t>
  </si>
  <si>
    <t>1708.4.28</t>
  </si>
  <si>
    <t>戊子年四月廿八</t>
  </si>
  <si>
    <t>1741.7.17</t>
  </si>
  <si>
    <t>辛酉年七月十七</t>
  </si>
  <si>
    <t>M001041W01</t>
  </si>
  <si>
    <t>字为九，生康熙戊子（1708年）四月二十八日，殁乾隆辛酉（1741年）七月十七日。配刘氏，矢志守节，生康熙戊子（1708年）一月二十七日，殁乾隆丁未（1787年）五月十六日，合葬犬形坤艮向。子二：永兰、永蔼。</t>
  </si>
  <si>
    <t>M001042</t>
  </si>
  <si>
    <t>国璋</t>
  </si>
  <si>
    <t>草堂荒田背</t>
  </si>
  <si>
    <t>1710.9.5</t>
  </si>
  <si>
    <t>庚寅年九月初五</t>
  </si>
  <si>
    <t>1776.1.1</t>
  </si>
  <si>
    <t>M001042W01</t>
  </si>
  <si>
    <t>字觐光，生康熙庚寅（1710年）九月五日，殁乾隆丙申（1776年），配某氏，殁乾隆己亥（1779年）一月十二日，合葬草堂荒田背。子五：永芳、永茂、永华、永夔、永芹。</t>
  </si>
  <si>
    <t>M001043</t>
  </si>
  <si>
    <t>国政</t>
  </si>
  <si>
    <t>香炉山，生子永元</t>
  </si>
  <si>
    <t>1728.3.14</t>
  </si>
  <si>
    <t>清朝雍正六年</t>
  </si>
  <si>
    <t>戊申年三月十四</t>
  </si>
  <si>
    <t>M001043W01,M001043W02</t>
  </si>
  <si>
    <t>龙氏_x000D_
某氏</t>
  </si>
  <si>
    <t>字亭真，国学生，生雍正戊申（1728年）三月十四日，殁于云南。配龙氏，生乾隆戊午（1738年）三月二十七日，殁乾隆丁亥（1767年）二月，葬香炉山，生子永元。继配贵州某氏，子四：永元、永亨、永利、永贞。</t>
  </si>
  <si>
    <t>M001044</t>
  </si>
  <si>
    <t>赤伟</t>
  </si>
  <si>
    <t>M001045</t>
  </si>
  <si>
    <t>永升</t>
  </si>
  <si>
    <t>月形上排</t>
  </si>
  <si>
    <t>1733.8.8</t>
  </si>
  <si>
    <t>癸丑年八月初八</t>
  </si>
  <si>
    <t>1786.2.6</t>
  </si>
  <si>
    <t>丙午年二月初六</t>
  </si>
  <si>
    <t>M001045W01</t>
  </si>
  <si>
    <t>字炳寰、号海门、治诗经，肄业鹭院，多载屡试前列后人，大学三试棘院未售，生雍正癸丑（1733年）八月八日，殁乾隆丙午（1786年）二月六日，葬月形上排。配王氏，生雍正辛亥（1731年）十二月十八日。子四：士宗、士定、士宣、士宝。</t>
  </si>
  <si>
    <t>M001046</t>
  </si>
  <si>
    <t>永昌</t>
  </si>
  <si>
    <t>草堂葵花向日形上排</t>
  </si>
  <si>
    <t>1734.11.1</t>
  </si>
  <si>
    <t>甲寅年十一月初一</t>
  </si>
  <si>
    <t>1809.6.29</t>
  </si>
  <si>
    <t>己巳年六月廿九</t>
  </si>
  <si>
    <t>M001046W01,M001046W02</t>
  </si>
  <si>
    <t>许氏_x000D__x000D_
肖氏</t>
  </si>
  <si>
    <t>字庶瞻、号禹门、治诗经岁贡生，生平寳录俱在翰林院玉藻先生寿文之内，生雍正甲寅（1734年）十一月一日，殁嘉庆己巳（1809年）六月二十九日，葬草堂葵花向日形上排中癸丁向。元配许氏，生乾隆丙辰（1736年）二月五日，殁乾隆辛卯（1771年）六月二十日，葬下潭源月形中排左艮山坤向，子士泽、士源。续配肖氏，生乾隆壬戌（1742年）六月十六日，生：士湘、士溥、士湲。一共生五子：士泽、士源、士湘、士清、士沷。</t>
  </si>
  <si>
    <t>M001047</t>
  </si>
  <si>
    <t>永昂</t>
  </si>
  <si>
    <t>月形三排</t>
  </si>
  <si>
    <t>1737.6.1</t>
  </si>
  <si>
    <t>丁巳年六月初一</t>
  </si>
  <si>
    <t>1803.10.3</t>
  </si>
  <si>
    <t>清朝嘉庆八年</t>
  </si>
  <si>
    <t>癸亥年十月初三</t>
  </si>
  <si>
    <t>M001047W01</t>
  </si>
  <si>
    <t>字济高、号礼门，治诗经大学生，生乾隆丁巳（1737年）六月一日，殁嘉庆癸亥（1803年）十月三日。配陈氏，生乾隆丁巳（1737年）十二月二十日，殁嘉庆辛未（1811年）六月二十三日，葬月形三排。子六：士德、士琦、士瑛、士瑗、士玮、士璜。</t>
  </si>
  <si>
    <t>M001048</t>
  </si>
  <si>
    <t>永旦</t>
  </si>
  <si>
    <t>草堂葵花向日形二排</t>
  </si>
  <si>
    <t>1747.6.6</t>
  </si>
  <si>
    <t>丁卯年六月初六</t>
  </si>
  <si>
    <t>M001048W01</t>
  </si>
  <si>
    <t>字旭堂、号晴岩，治书经屡授前茅未售，因入大学生，生乾隆丁卯（1747年）六月六日。配金田王氏，生乾隆己巳（1749年）七月十七日，殁嘉庆庚（1810年）十一月四日，葬草堂葵花向日形二排中癸丁向。子四：士达、士逵、士通、士选。</t>
  </si>
  <si>
    <t>M001049</t>
  </si>
  <si>
    <t>永景</t>
  </si>
  <si>
    <t>潭源月形上牌左</t>
  </si>
  <si>
    <t>1749.8.15</t>
  </si>
  <si>
    <t>己巳年八月十五</t>
  </si>
  <si>
    <t>1800.10.15</t>
  </si>
  <si>
    <t>庚申年十月十五</t>
  </si>
  <si>
    <t>M001049W01,M001049W02</t>
  </si>
  <si>
    <t>王氏王氏</t>
  </si>
  <si>
    <t>郡廪生; 思贡生</t>
  </si>
  <si>
    <t>字慕高、号邱齐，别号晴岚，郡廪生，治五经纫试每试授前茅己亥县试县宪赵考取点头正榜第八名，府试郡候沈授取案首，庚子宗师五入学甲辰岁考一等第一名，补廪督学侍郎，李君简先生戊午科呈荐挂魁庚申恩科值出思贡旋丁母优生平寳录俱详朱桂林先生所撰行述内，生乾隆己巳（1749年）八月十五日，殁嘉庆庚申（1800年）十月十五日，葬潭源月形上牌左艮坤向。配洋门王氏，生乾隆己巳（1749年）六月二十一日，生：士珀。次娶金田王氏，生乾隆己卯（1759年）一月二十三日，殁嘉庆壬戌（1802年）十一月二十三日，葬月形三牌中，生：士琅、士玕。一共生子三：士珀、士琅、士玕。</t>
  </si>
  <si>
    <t>M001050</t>
  </si>
  <si>
    <t>永星</t>
  </si>
  <si>
    <t>下潭源月形中排右</t>
  </si>
  <si>
    <t>乾隆辛未（1751年）十月十七日</t>
  </si>
  <si>
    <t>M001050W01</t>
  </si>
  <si>
    <t>字映辰、号舒辰，生平志希贤达贫困太守庐取入鹭院 山长翰林院鲁庆先生县宪亭考取正场第七名，县审徐考取终五复历年前列至今不倦，生乾隆辛未（1751年）十月十七日。配苎田李氏，生乾隆庚午（1750年）十月十三日，殁乾隆辛亥（1791年）十月六日，葬下潭源月形中排右艮坤向。子三：士濂、士鸿、士滨。</t>
  </si>
  <si>
    <t>M001051</t>
  </si>
  <si>
    <t>永晨</t>
  </si>
  <si>
    <t>1754.11.25</t>
  </si>
  <si>
    <t>甲戌年十一月廿五</t>
  </si>
  <si>
    <t>M001051W01,M001051W02</t>
  </si>
  <si>
    <t>刘氏_x000D_
王氏</t>
  </si>
  <si>
    <t>字晓初、业儒诗文精通，屡试未遇，生乾隆甲戌（1754年）十一月二十五日。配周家坊刘氏，生乾隆甲戌（1754年）四月十日。次配金田草垅王氏，生乾隆戊寅（1758年）八月二十日。</t>
  </si>
  <si>
    <t>M001052</t>
  </si>
  <si>
    <t>永昊</t>
  </si>
  <si>
    <t>1757.8.13</t>
  </si>
  <si>
    <t>丁丑年八月十三</t>
  </si>
  <si>
    <t>M001052W01</t>
  </si>
  <si>
    <t>字赞唐、号钦斋，治诗经大学生，生乾隆丁丑（1757年）八月十三日。配中洲王氏，生乾隆乙亥（1755年）十月二十八日。</t>
  </si>
  <si>
    <t>M001053</t>
  </si>
  <si>
    <t>永钟</t>
  </si>
  <si>
    <t>龙形</t>
  </si>
  <si>
    <t>1711.11.16</t>
  </si>
  <si>
    <t>辛卯年十一月十六</t>
  </si>
  <si>
    <t>1787.3.3</t>
  </si>
  <si>
    <t>丁未年三月初三</t>
  </si>
  <si>
    <t>M001053W01</t>
  </si>
  <si>
    <t>字景占，生康熙辛卯（1711年）十一月十六日，殁乾隆丁未（1739年）三月三日，葬龙形。配炎田周氏，生康熙丙申（1716年）九月四日，殁乾隆丙申（1776年）四月十三日，葬上潭源百子山人形上牌左巽山干向。子三：士仁、士礼、士荣。</t>
  </si>
  <si>
    <t>M001054</t>
  </si>
  <si>
    <t>大勋</t>
  </si>
  <si>
    <t>犬形下牌，生子：士义、士智、士谦</t>
  </si>
  <si>
    <t>1716.4.21</t>
  </si>
  <si>
    <t>丙申年四月廿一</t>
  </si>
  <si>
    <t>1785.8.25</t>
  </si>
  <si>
    <t>清朝乾隆五十年</t>
  </si>
  <si>
    <t>乙巳年八月廿五</t>
  </si>
  <si>
    <t>M001054W01,M001054W02</t>
  </si>
  <si>
    <t>刘氏_x000D__x000D_
左氏</t>
  </si>
  <si>
    <t>字声宏、行名求錱，号寳齐，大学生，生康熙丙申（1716年）四月二十一日，殁乾隆乙巳（1785年）八月二十五日，葬龙形。配刘氏，生康熙乙未（1715年）一月十三日，殁乾隆癸亥（1743年）八月十一日。葬犬形下牌艮坤向，生子：士义、士智、士谦。次配左氏，生康熙壬寅（1662年）五月十一日，殁乾隆庚子（1780年）十二月二十三日，葬掌形下牌。一共生子：士义、士智、士谦、士相。</t>
  </si>
  <si>
    <t>M001055</t>
  </si>
  <si>
    <t>永剑</t>
  </si>
  <si>
    <t>上潭源人形</t>
  </si>
  <si>
    <t>1724.3.23</t>
  </si>
  <si>
    <t>甲辰年三月廿三</t>
  </si>
  <si>
    <t>1773.9.15</t>
  </si>
  <si>
    <t>癸巳年九月十五</t>
  </si>
  <si>
    <t>M001055W01</t>
  </si>
  <si>
    <t>字述康，生雍正甲辰（1724年）三月二十三日，殁乾隆癸巳（1773年）九月十五日，葬上潭源人形。配龙氏，生雍正丙午（1726年）九月十一日，殁乾隆辛亥（1791年）一月八日，葬犬形。子四：士龙、士俊、士杰、士纯。</t>
  </si>
  <si>
    <t>M001056</t>
  </si>
  <si>
    <t>永庆</t>
  </si>
  <si>
    <t>1717.8.12</t>
  </si>
  <si>
    <t>丁酉年八月十二</t>
  </si>
  <si>
    <t>1777.11.19</t>
  </si>
  <si>
    <t>丁酉年十一月十九</t>
  </si>
  <si>
    <t>M001056W01,M001056W02</t>
  </si>
  <si>
    <t>王氏_x000D__x000D_
彭氏</t>
  </si>
  <si>
    <t>字瑞班、号崇善，大学生治诗经，全弟永昌创建房祠，生康熙丁酉（1717年）八月十二日，殁乾隆丁酉（1777年）十一月十九日，葬香炉山辛乙向。配王氏，生康熙丁酉（1717年）七月十七日，殁乾隆丁卯（1747年）八月十六日，葬犬形侧阪上。次配彭氏，生康熙庚子（1720年）一月二十五日，殁乾隆庚申（1740年）四月二日，葬潭源掌形。子三：士祥、士祚、士裕。</t>
  </si>
  <si>
    <t>M001057</t>
  </si>
  <si>
    <t>永巨</t>
  </si>
  <si>
    <t>1725.8.14</t>
  </si>
  <si>
    <t>清朝雍正三年</t>
  </si>
  <si>
    <t>乙巳年八月十四</t>
  </si>
  <si>
    <t>1786.2.18</t>
  </si>
  <si>
    <t>丙午年二月十八</t>
  </si>
  <si>
    <t>M001057W01</t>
  </si>
  <si>
    <t>字克刚、逸士，生雍正乙巳（1725年）八月十四日，殁乾隆丙午（1786年）二月十八日，葬龙形。配刘氏，生雍正癸卯（1723年）一月二十四日，殁乾隆丁未（1787年）九月二十六日，葬犬形。子三：士禧、士衿、士袗。</t>
  </si>
  <si>
    <t>M001058</t>
  </si>
  <si>
    <t>应钟</t>
  </si>
  <si>
    <t>M001059</t>
  </si>
  <si>
    <t>永铎</t>
  </si>
  <si>
    <t>1732.1.18</t>
  </si>
  <si>
    <t>壬子年元月十八</t>
  </si>
  <si>
    <t>1792.3.1</t>
  </si>
  <si>
    <t>清朝乾隆五十七年</t>
  </si>
  <si>
    <t>壬子年三月初一</t>
  </si>
  <si>
    <t>M001059W01</t>
  </si>
  <si>
    <t>字振可，生雍正壬子（1732年）一月十八日，殁乾隆壬子（1792年）三月一日，葬掌形癸丁向。配刘氏，生丁雍正乙卯（1735年）六月二十九日。子一：士崇。</t>
  </si>
  <si>
    <t>M001060</t>
  </si>
  <si>
    <t>永灿</t>
  </si>
  <si>
    <t>潭源掌形三牌</t>
  </si>
  <si>
    <t>1735.2.18</t>
  </si>
  <si>
    <t>乙卯年二月十八</t>
  </si>
  <si>
    <t>1790.3.3</t>
  </si>
  <si>
    <t>庚戌年三月初三</t>
  </si>
  <si>
    <t>M001060W01</t>
  </si>
  <si>
    <t>字道彰、业儒屡试未售续修族谱。生雍正乙卯（1735年）二月十八日，殁乾隆庚戌（1790年）三月三日，葬潭源掌形三牌。配刘氏，生乾隆丁巳（1737年）十一月二十七日。子二：士岳、士嶐。</t>
  </si>
  <si>
    <t>M001061</t>
  </si>
  <si>
    <t>永锐</t>
  </si>
  <si>
    <t>犬形下边下牌</t>
  </si>
  <si>
    <t>1736.12.14</t>
  </si>
  <si>
    <t>丙辰年十二月十四</t>
  </si>
  <si>
    <t>M001061W01</t>
  </si>
  <si>
    <t>字健辉，生乾隆丁己（1737年）十二月十四日，殁四川白铜厂。配王氏，生乾隆壬戌（1742年）四月七日，殁嘉庆丁己（1797年）八月二十三日，葬犬形下边下牌。子一：士嵩。</t>
  </si>
  <si>
    <t>M001062</t>
  </si>
  <si>
    <t>永鉴</t>
  </si>
  <si>
    <t>掌形中牌上边</t>
  </si>
  <si>
    <t>1737.2.2</t>
  </si>
  <si>
    <t>丁巳年二月初二</t>
  </si>
  <si>
    <t>M001062W01</t>
  </si>
  <si>
    <t>乡饮大宾正八品微仕郎</t>
  </si>
  <si>
    <t>字鼎臣、号铨垣，潜心举业屡掇前茅，学宪曹授取余卷，嘉庆壬申冬季钦授乡饮大宾正八品微仕郎，生乾隆壬戌（1742年）二月二日。配刘氏，生乾隆癸亥（1743年）四月二十四日，殁嘉庆丙寅（1806年）八月二十八日，葬掌形中牌上边癸丁向。子四：士岗、士昆、士峄、士峤。</t>
  </si>
  <si>
    <t>M001063</t>
  </si>
  <si>
    <t>永焕</t>
  </si>
  <si>
    <t>1747.3.2</t>
  </si>
  <si>
    <t>丁卯年三月初二</t>
  </si>
  <si>
    <t>1794.6.14</t>
  </si>
  <si>
    <t>甲寅年六月十四</t>
  </si>
  <si>
    <t>M001063W01</t>
  </si>
  <si>
    <t>字述尧、业儒，生乾隆丁卯（1747年）三月二日，殁乾隆甲寅（1794年）六月十四日。配李氏，生乾隆戊辰（1748年）。子二：士仑、士岩。</t>
  </si>
  <si>
    <t>M001064</t>
  </si>
  <si>
    <t>永兰</t>
  </si>
  <si>
    <t>1727.5.18</t>
  </si>
  <si>
    <t>丁未年五月十八</t>
  </si>
  <si>
    <t>1782.6.7</t>
  </si>
  <si>
    <t>壬寅年六月初七</t>
  </si>
  <si>
    <t>M001064W01</t>
  </si>
  <si>
    <t>字瑞腾，生雍正丁未（1727年）五月十八日，殁乾隆壬寅（1782年）六月初七日。配刘氏，生雍正戊申（1728年）二月十二日，殁嘉庆丙辰（1796年）六月初七日。子三：士樑、士栋、士柱。</t>
  </si>
  <si>
    <t>M001065</t>
  </si>
  <si>
    <t>永蔼</t>
  </si>
  <si>
    <t>1730.10.19</t>
  </si>
  <si>
    <t>庚戌年十月十九</t>
  </si>
  <si>
    <t>乾隆</t>
  </si>
  <si>
    <t>M001065W01</t>
  </si>
  <si>
    <t>字萃芬，生雍正庚戌（1730年）十月十九日，殁乾隆，葬犬形。配刘氏，生乾隆壬戌（1742年）八月二十二日，殁乾隆丙午（1786年）五月十六日，葬犬形。子三：士松、士禁、士材。</t>
  </si>
  <si>
    <t>M001066</t>
  </si>
  <si>
    <t>永芳</t>
  </si>
  <si>
    <t>1732.1.15</t>
  </si>
  <si>
    <t>壬子年元月十五</t>
  </si>
  <si>
    <t>1775.10.29</t>
  </si>
  <si>
    <t>乙未年十月廿九</t>
  </si>
  <si>
    <t>M001066W01</t>
  </si>
  <si>
    <t>胡氏</t>
  </si>
  <si>
    <t>字佩馨、号纫兰，大学生，生雍正壬子（1732年）一月十五日，殁乾隆乙未（1739年）闰十月二十九日，葬草堂荒田背。配胡氏，生乾隆辛酉（1741年）五月十八日，殁嘉庆辛未（1811年）八月十二日。子一：士槐。</t>
  </si>
  <si>
    <t>M001067</t>
  </si>
  <si>
    <t>永茂</t>
  </si>
  <si>
    <t>1735.3.3</t>
  </si>
  <si>
    <t>乙卯年三月初三</t>
  </si>
  <si>
    <t>1803.2.29</t>
  </si>
  <si>
    <t>癸亥年二月廿九</t>
  </si>
  <si>
    <t>M001067W01</t>
  </si>
  <si>
    <t>字佩丰，生雍正乙卯（1735年）三月初三日，殁嘉庆癸亥（1803年）二月二十九日，葬犬形。配肖氏，生乾隆乙丑（1745年）二月五日，殁乾隆丁未（1787年）九月三十日，葬草堂荒田背，子五：士桂、士槐、士楷、士极、士桓。</t>
  </si>
  <si>
    <t>M001068</t>
  </si>
  <si>
    <t>永华</t>
  </si>
  <si>
    <t>1740.7.26</t>
  </si>
  <si>
    <t>清朝乾隆五年</t>
  </si>
  <si>
    <t>庚申年七月廿六</t>
  </si>
  <si>
    <t>字继堂，生乾隆庚申（1740年）七月二十六日，早殁。</t>
  </si>
  <si>
    <t>M001069</t>
  </si>
  <si>
    <t>永夔</t>
  </si>
  <si>
    <t>1743.4.27</t>
  </si>
  <si>
    <t>癸亥年四月廿七</t>
  </si>
  <si>
    <t>1808.9.12</t>
  </si>
  <si>
    <t>戊辰年九月十二</t>
  </si>
  <si>
    <t>M001069W01</t>
  </si>
  <si>
    <t>毛氏</t>
  </si>
  <si>
    <t>字绍典、业儒，生乾隆癸亥（1743年）四月二十七日，殁南嘉庆戊辰（1808年）九月十二日。配毛氏，生乾隆丙寅（1746年）八月二十日。子二：士耀、士怀。</t>
  </si>
  <si>
    <t>M001070</t>
  </si>
  <si>
    <t>永芹</t>
  </si>
  <si>
    <t>1745.11.17</t>
  </si>
  <si>
    <t>乙丑年十一月十七</t>
  </si>
  <si>
    <t>M001070W01</t>
  </si>
  <si>
    <t>字立，生乾隆乙丑（1745年）十一月十七日，殁云南大姚县。配刘氏，生乾隆癸酉（1753年）十一月八日，殁乾隆丁未（1787年）八月十五日。子二：士榱、士桧。</t>
  </si>
  <si>
    <t>M001071</t>
  </si>
  <si>
    <t>永元</t>
  </si>
  <si>
    <t>1760.3.7</t>
  </si>
  <si>
    <t>庚辰年三月初七</t>
  </si>
  <si>
    <t>M001071W01</t>
  </si>
  <si>
    <t>字佩高，生乾隆庚辰（1760年）三月初七日。配肖氏，子一：士福。</t>
  </si>
  <si>
    <t>M001072</t>
  </si>
  <si>
    <t>永亨</t>
  </si>
  <si>
    <t>无记录</t>
  </si>
  <si>
    <t>M001073</t>
  </si>
  <si>
    <t>永利</t>
  </si>
  <si>
    <t>字毓麟</t>
  </si>
  <si>
    <t>M001074</t>
  </si>
  <si>
    <t>永贞</t>
  </si>
  <si>
    <t>M001075</t>
  </si>
  <si>
    <t>庆元</t>
  </si>
  <si>
    <t>未知</t>
  </si>
  <si>
    <t>M001076</t>
  </si>
  <si>
    <t>士宗</t>
  </si>
  <si>
    <t>月形右</t>
  </si>
  <si>
    <t>1752.8.10</t>
  </si>
  <si>
    <t>壬申年八月初十</t>
  </si>
  <si>
    <t>M001076W01,M001076W02</t>
  </si>
  <si>
    <t>刘氏刘氏</t>
  </si>
  <si>
    <t>字儒望、业儒，生乾隆壬申（1752年）八月十日。配永新墙边刘氏，生乾隆癸酉（1753年）九月十三日，殁乾隆癸卯（1783年）五月三十日，葬月形右，子一：方兴。续娶刘氏，生乾隆壬申（1752年）八月初十日。</t>
  </si>
  <si>
    <t>M001077</t>
  </si>
  <si>
    <t>士定</t>
  </si>
  <si>
    <t>39</t>
  </si>
  <si>
    <t>1758.4.28</t>
  </si>
  <si>
    <t>戊寅年四月廿八</t>
  </si>
  <si>
    <t>M001077W01</t>
  </si>
  <si>
    <t>字静岳、业儒，生乾隆戊寅（1758年）四月二十八日。配李氏，生乾隆己卯（1759年）三月十二日，殁嘉庆丁巳（1797年）二月十八日，葬对门岑龙形。</t>
  </si>
  <si>
    <t>M001078</t>
  </si>
  <si>
    <t>士宣</t>
  </si>
  <si>
    <t>1761.2.29</t>
  </si>
  <si>
    <t>辛巳年二月廿九</t>
  </si>
  <si>
    <t>1800.1.7</t>
  </si>
  <si>
    <t>庚申年元月初七</t>
  </si>
  <si>
    <t>字希圣，生乾隆辛巳（1761年）二月二十九日，殁嘉庆乙丑（1805年）一月七日，葬香炉山。</t>
  </si>
  <si>
    <t>M001079</t>
  </si>
  <si>
    <t>士宝</t>
  </si>
  <si>
    <t>1764.3.1</t>
  </si>
  <si>
    <t>甲申年三月初一</t>
  </si>
  <si>
    <t>M001079W01</t>
  </si>
  <si>
    <t>字惟善，生乾隆甲申（1764年）三月初一日。配王氏，生乾隆乙未（1739年）三月初一日，子一：方光。</t>
  </si>
  <si>
    <t>M001080</t>
  </si>
  <si>
    <t>士泽</t>
  </si>
  <si>
    <t>月形</t>
  </si>
  <si>
    <t>1759.4.20</t>
  </si>
  <si>
    <t>己卯年四月二十</t>
  </si>
  <si>
    <t>1781.3.14</t>
  </si>
  <si>
    <t>辛丑年三月十四</t>
  </si>
  <si>
    <t>M001080W01</t>
  </si>
  <si>
    <t>字文池、英敏好学，生乾隆己卯（1735年）四月二十日，殁乾隆辛丑（1781年）三月十四日，葬月形。配上城刘氏，生乾隆壬午（1762年）三月十六日，士溥第三子继，子一：方谷。</t>
  </si>
  <si>
    <t>M001081</t>
  </si>
  <si>
    <t>士源</t>
  </si>
  <si>
    <t>1765.6.1</t>
  </si>
  <si>
    <t>乙酉年六月初一</t>
  </si>
  <si>
    <t>生乾隆乙酉（1765年）六月初一日，早殁。</t>
  </si>
  <si>
    <t>M001082</t>
  </si>
  <si>
    <t>士湘</t>
  </si>
  <si>
    <t>1772.10.9</t>
  </si>
  <si>
    <t>壬辰年十月初九</t>
  </si>
  <si>
    <t>M001082W01</t>
  </si>
  <si>
    <t>字文渊，生乾隆壬辰（1772年）十月九日，配刘氏，生乾隆辛卯（1771年）五月十日，子二：方杰、方照。</t>
  </si>
  <si>
    <t>M001083</t>
  </si>
  <si>
    <t>士溥</t>
  </si>
  <si>
    <t>草堂葵花向日形</t>
  </si>
  <si>
    <t>1739.7.14</t>
  </si>
  <si>
    <t>己未年七月十四</t>
  </si>
  <si>
    <t>1805.6.19</t>
  </si>
  <si>
    <t>清朝嘉庆十年</t>
  </si>
  <si>
    <t>乙丑年六月十九</t>
  </si>
  <si>
    <t>M001083W01</t>
  </si>
  <si>
    <t>字镜泉，生乾隆乙未（1739年）七月十四日，殁嘉庆乙丑（1805年）六月十九日，葬草堂葵花向日形。配谢氏，生乾隆癸巳（1773年）三月十三日，子三：方瑞、方秋、方谷继立士泽位下。</t>
  </si>
  <si>
    <t>M001084</t>
  </si>
  <si>
    <t>士沷</t>
  </si>
  <si>
    <t>1778.9.27</t>
  </si>
  <si>
    <t>戊戌年九月廿七</t>
  </si>
  <si>
    <t>字达渊、业儒，生乾隆戊戌（1778年）九月二十七日。</t>
  </si>
  <si>
    <t>M001085</t>
  </si>
  <si>
    <t>士德</t>
  </si>
  <si>
    <t>1760.10.3</t>
  </si>
  <si>
    <t>庚辰年十月初三</t>
  </si>
  <si>
    <t>M001085W01</t>
  </si>
  <si>
    <t>字殿杨，生乾隆庚辰（1760年）十月三日。配洋门王氏，生乾隆己卯（1759年）一月初八日，子一：方立。</t>
  </si>
  <si>
    <t>M001086</t>
  </si>
  <si>
    <t>士琦</t>
  </si>
  <si>
    <t>1763.7.1</t>
  </si>
  <si>
    <t>清朝乾隆二十八年</t>
  </si>
  <si>
    <t>癸未年七月初一</t>
  </si>
  <si>
    <t>M001086W01</t>
  </si>
  <si>
    <t>字坦行，生乾隆癸未（1763年）七月初一日，殁云南。配李氏，生乾隆丙戌（1766年）十月十六日。</t>
  </si>
  <si>
    <t>M001087</t>
  </si>
  <si>
    <t>士瑛</t>
  </si>
  <si>
    <t>1766.8.1</t>
  </si>
  <si>
    <t>丙戌年八月初一</t>
  </si>
  <si>
    <t>M001087W01</t>
  </si>
  <si>
    <t>字用行、出商广西，生乾隆丙戌（1766年）八月初一日，配刘氏，生乾隆甲午（1774年）一月二十五日。</t>
  </si>
  <si>
    <t>M001088</t>
  </si>
  <si>
    <t>士瑗</t>
  </si>
  <si>
    <t>1768.7.26</t>
  </si>
  <si>
    <t>戊子年七月廿六</t>
  </si>
  <si>
    <t>M001088W01</t>
  </si>
  <si>
    <t>字学邃，生乾隆戊子（1768年）七月二十六日。配李氏，子二：方童、方章。</t>
  </si>
  <si>
    <t>M001089</t>
  </si>
  <si>
    <t>士玮</t>
  </si>
  <si>
    <t>1770.6.15</t>
  </si>
  <si>
    <t>庚寅年六月十五</t>
  </si>
  <si>
    <t>M001089W01</t>
  </si>
  <si>
    <t>字斗平，生乾隆庚寅（1770年）六月十五日。配刘氏，生乾隆丁酉（1777年）九月二十九日，子四：方孟、方盛、方盘、方盖出继左坊刘。</t>
  </si>
  <si>
    <t>M001090</t>
  </si>
  <si>
    <t>士璜</t>
  </si>
  <si>
    <t>1780.2.16</t>
  </si>
  <si>
    <t>庚子年二月十六</t>
  </si>
  <si>
    <t>生乾隆庚子（1780年）二月十六日。</t>
  </si>
  <si>
    <t>M001091</t>
  </si>
  <si>
    <t>士达</t>
  </si>
  <si>
    <t>1774.2.13</t>
  </si>
  <si>
    <t>甲午年二月十三</t>
  </si>
  <si>
    <t>M001091W01</t>
  </si>
  <si>
    <t>字勉全，生乾隆甲午（1774年）二月十三日。配刘氏，生乾隆乙未（1739年）十月五日。</t>
  </si>
  <si>
    <t>M001092</t>
  </si>
  <si>
    <t>士逵</t>
  </si>
  <si>
    <t>1777.5.17</t>
  </si>
  <si>
    <t>丁酉年五月十七</t>
  </si>
  <si>
    <t>1791.2.25</t>
  </si>
  <si>
    <t>辛亥年二月廿五</t>
  </si>
  <si>
    <t>M001092W01</t>
  </si>
  <si>
    <t>字钟书，生乾隆丁酉（1777年）五月十七日，殁乾隆辛亥（1791年）二月二十五日，葬香炉山。配八文王氏。(阳先注：年龄不合理，但没有证据）</t>
  </si>
  <si>
    <t>M001093</t>
  </si>
  <si>
    <t>士通</t>
  </si>
  <si>
    <t>1780.5.4</t>
  </si>
  <si>
    <t>庚子年五月初四</t>
  </si>
  <si>
    <t>M001093W01</t>
  </si>
  <si>
    <t>字迪亨，生乾隆庚子（1780年）五月四日，配瑶岑黄氏，生乾隆甲辰（1784年）九月二十九日，子一：方春。</t>
  </si>
  <si>
    <t>M001094</t>
  </si>
  <si>
    <t>士选</t>
  </si>
  <si>
    <t>1785.5.28</t>
  </si>
  <si>
    <t>乙巳年五月廿八</t>
  </si>
  <si>
    <t>字汝宣，生乾隆乙巳（1749年）五月二十八日。</t>
  </si>
  <si>
    <t>M001095</t>
  </si>
  <si>
    <t>士珀</t>
  </si>
  <si>
    <t>1787.9.5</t>
  </si>
  <si>
    <t>丁未年九月初五</t>
  </si>
  <si>
    <t>M001095W01,M001095W02</t>
  </si>
  <si>
    <t>刘氏_x000D__x000D_
刘氏</t>
  </si>
  <si>
    <t>字青选、号业儒，精敏通达，初试即援前茅，专意强学以承父志，生乾隆丁未（1787年）九月五日，配刘氏，生乾隆甲寅（1794年）九月五日。配刘氏，生乾隆甲寅（1794年）一月三日。</t>
  </si>
  <si>
    <t>M001096</t>
  </si>
  <si>
    <t>士琅</t>
  </si>
  <si>
    <t>1789.2.20</t>
  </si>
  <si>
    <t>己酉年二月二十</t>
  </si>
  <si>
    <t>字肇吉，生乾隆己酉（1789年）二月二十日。</t>
  </si>
  <si>
    <t>M001097</t>
  </si>
  <si>
    <t>士玕</t>
  </si>
  <si>
    <t>1791.12.6</t>
  </si>
  <si>
    <t>辛亥年十二月初六</t>
  </si>
  <si>
    <t>字石甫，生乾隆辛亥（1791年）十二月六日。</t>
  </si>
  <si>
    <t>M001098</t>
  </si>
  <si>
    <t>士濂</t>
  </si>
  <si>
    <t>草堂葵花向日形上排右</t>
  </si>
  <si>
    <t>1771.9.5</t>
  </si>
  <si>
    <t>辛卯年九月初五</t>
  </si>
  <si>
    <t>M001098W01</t>
  </si>
  <si>
    <t>马陂陈氏</t>
  </si>
  <si>
    <t>字观澜、号双溪，大学生、治五经诗文，有体书法合格，生乾隆辛卯（1771年）九月五日。配马陂陈氏，生乾隆癸巳（1773年）八月二十日，殁嘉庆乙丑（1805年）十月六日，葬草堂葵花向日形上排右癸丁向。子一：方岳。</t>
  </si>
  <si>
    <t>M001099</t>
  </si>
  <si>
    <t>士鸿</t>
  </si>
  <si>
    <t>1785.1.8</t>
  </si>
  <si>
    <t>乙巳年元月初八</t>
  </si>
  <si>
    <t>字安盘，生乾隆乙巳（1785年）一月八日。</t>
  </si>
  <si>
    <t>M001100</t>
  </si>
  <si>
    <t>士滨</t>
  </si>
  <si>
    <t>1787.12.14</t>
  </si>
  <si>
    <t>丁未年十二月十四</t>
  </si>
  <si>
    <t>字舜夫，生乾隆丁未（1787年）十二月十四日。</t>
  </si>
  <si>
    <t>M001101</t>
  </si>
  <si>
    <t>士仁</t>
  </si>
  <si>
    <t>M001102</t>
  </si>
  <si>
    <t>士礼</t>
  </si>
  <si>
    <t>1737.10.24</t>
  </si>
  <si>
    <t>丁巳年十月廿四</t>
  </si>
  <si>
    <t>1784.12.20</t>
  </si>
  <si>
    <t>甲辰年十二月二十</t>
  </si>
  <si>
    <t>M001102W01</t>
  </si>
  <si>
    <t>字逊行、业儒，生乾隆丁巳（1737年）十月二十四日，殁乾隆甲辰（1784年）十二月二十日。配彭氏，生乾隆辛酉（1741年）八月二十三日，殁乾隆乙未（1775年）正月十二日，葬掌形，子四：方绂、方郁、方灼、方烜。</t>
  </si>
  <si>
    <t>M001103</t>
  </si>
  <si>
    <t>士荣</t>
  </si>
  <si>
    <t>1745.2.10</t>
  </si>
  <si>
    <t>乙丑年二月初十</t>
  </si>
  <si>
    <t>M001103W01</t>
  </si>
  <si>
    <t>字仁轩，生乾隆乙丑（1745年）二月十日。配彭氏，生乾隆癸酉（1753年）八月十二日，子一：方华。</t>
  </si>
  <si>
    <t>M001104</t>
  </si>
  <si>
    <t>士义</t>
  </si>
  <si>
    <t>1736.5.4</t>
  </si>
  <si>
    <t>丙辰年五月初四</t>
  </si>
  <si>
    <t>1781.1.3</t>
  </si>
  <si>
    <t>辛丑年元月初三</t>
  </si>
  <si>
    <t>M001104W01</t>
  </si>
  <si>
    <t>字履祥、行名士义，苦心力学，有志未遂，生乾隆丙辰（1736年）五月四日，殁乾隆辛丑（1781年）一月三日。配朱氏，生乾隆己未（1739年）十月二十四日，殁乾隆丁未（1775年）十月初一日，葬犬形，子四：方彬、方藻、方灏、方洗。</t>
  </si>
  <si>
    <t>M001105</t>
  </si>
  <si>
    <t>士智</t>
  </si>
  <si>
    <t>1737.12.1</t>
  </si>
  <si>
    <t>丁巳年十二月初一</t>
  </si>
  <si>
    <t>1777.3.9</t>
  </si>
  <si>
    <t>丁酉年三月初九</t>
  </si>
  <si>
    <t>M001105W01</t>
  </si>
  <si>
    <t>字轩，生乾隆丁巳（1737年）十二月初一日，殁乾隆丁酉（1777年）三月初九日，葬上潭源人形。配刘氏，生乾隆壬戌（1742年）五月初五日，子二：方谟、方讦。</t>
  </si>
  <si>
    <t>M001106</t>
  </si>
  <si>
    <t>士谦</t>
  </si>
  <si>
    <t>1741.5.25</t>
  </si>
  <si>
    <t>辛酉年五月廿五</t>
  </si>
  <si>
    <t>M001106W01</t>
  </si>
  <si>
    <t>字敬芳、业儒，生乾隆辛酉（1741年）五月二十五日，殁宜威州。配苎田李氏，生乾隆乙丑（1745年）十月二十四日，殁乾隆癸卯（1783年）四月十八日，葬龙形，子一：方瀚。</t>
  </si>
  <si>
    <t>M001107</t>
  </si>
  <si>
    <t>士相</t>
  </si>
  <si>
    <t>掌形新牌</t>
  </si>
  <si>
    <t>1750.1.14</t>
  </si>
  <si>
    <t>庚午年元月十四</t>
  </si>
  <si>
    <t>1801.5.7</t>
  </si>
  <si>
    <t>辛酉年五月初七</t>
  </si>
  <si>
    <t>M001107W01</t>
  </si>
  <si>
    <t>前缀元、业儒，生乾隆庚午（1750年）正月十四日，殁嘉庆辛酉（1801年）五月初七日，葬掌形新牌。配刘氏，生乾隆乙亥（1755年）九月十三日，殁乾隆己酉（1789年）十月十二日，葬龙形，子一：方规。</t>
  </si>
  <si>
    <t>M001108</t>
  </si>
  <si>
    <t>士龙</t>
  </si>
  <si>
    <t>上汰源人形</t>
  </si>
  <si>
    <t>1744.9.16</t>
  </si>
  <si>
    <t>甲子年九月十六</t>
  </si>
  <si>
    <t>M001108W01</t>
  </si>
  <si>
    <t>字见田、业儒，生乾隆甲子（1744年）九月十六日，殁大姚县。配龙氏，生乾隆戊辰（1748年）十月七日，殁乾隆辛丑（1781年）三月十五日，葬上汰源人形。子三：方询、方治、方淳。</t>
  </si>
  <si>
    <t>M001109</t>
  </si>
  <si>
    <t>士俊</t>
  </si>
  <si>
    <t>1748.7.14</t>
  </si>
  <si>
    <t>戊辰年七月十四</t>
  </si>
  <si>
    <t>M001109W01</t>
  </si>
  <si>
    <t>字特超，生乾隆戊辰（1748年）七月十四日，殁云南，配杨氏。</t>
  </si>
  <si>
    <t>M001110</t>
  </si>
  <si>
    <t>士杰</t>
  </si>
  <si>
    <t>1751.4.15</t>
  </si>
  <si>
    <t>辛未年四月十五</t>
  </si>
  <si>
    <t>1783.4.29</t>
  </si>
  <si>
    <t>癸卯年四月廿九</t>
  </si>
  <si>
    <t>M001110W01</t>
  </si>
  <si>
    <t>字作，生乾隆辛未（1751年）四月十五日，殁乾隆癸卯（1783年）四月二十九日。配彭氏，生乾隆甲戌（1754年）正月七日，子二：方梅、方椿。</t>
  </si>
  <si>
    <t>M001111</t>
  </si>
  <si>
    <t>士纯</t>
  </si>
  <si>
    <t>1761.1.11</t>
  </si>
  <si>
    <t>辛巳年元月十一</t>
  </si>
  <si>
    <t>字德源，生乾隆辛巳（1761年）正月十一日，殁大姚县。</t>
  </si>
  <si>
    <t>M001112</t>
  </si>
  <si>
    <t>士祥</t>
  </si>
  <si>
    <t>1751.6.25</t>
  </si>
  <si>
    <t>辛未年六月廿五</t>
  </si>
  <si>
    <t>M001112W01</t>
  </si>
  <si>
    <t>字蔼吉、苦学未售，生乾隆辛未（1751年）六月二十五日。配刘氏，生乾隆戊辰（1748年）十月十一日，殁乾隆丁未（1787年）九月十七日，葬香炉山，子二：方曜、方暄。</t>
  </si>
  <si>
    <t>M001113</t>
  </si>
  <si>
    <t>士祚</t>
  </si>
  <si>
    <t>1755.10.19</t>
  </si>
  <si>
    <t>乙亥年十月十九</t>
  </si>
  <si>
    <t>1799.9.5</t>
  </si>
  <si>
    <t>己未年九月初五</t>
  </si>
  <si>
    <t>M001113W01</t>
  </si>
  <si>
    <t>字蔼臻、业儒未遂，孝友端方，生乾隆乙亥（1755年）十月十九日。配杨氏，生乾隆丙戌（1766年）十二月二十三日，殁嘉庆己未（1799年）九月五日，葬香炉山。子一：方暹。</t>
  </si>
  <si>
    <t>M001114</t>
  </si>
  <si>
    <t>士裕</t>
  </si>
  <si>
    <t>1762.3.6</t>
  </si>
  <si>
    <t>壬午年三月初六</t>
  </si>
  <si>
    <t>M001114W01</t>
  </si>
  <si>
    <t>字艺文，生乾隆壬午（1762年）三月六日，配李氏，寓宣威州。子二：方昶、方晖。</t>
  </si>
  <si>
    <t>M001115</t>
  </si>
  <si>
    <t>士禧</t>
  </si>
  <si>
    <t>香炉石</t>
  </si>
  <si>
    <t>1748.6.14</t>
  </si>
  <si>
    <t>戊辰年六月十四</t>
  </si>
  <si>
    <t>1796.11.20</t>
  </si>
  <si>
    <t>丙辰年十一月二十</t>
  </si>
  <si>
    <t>M001115W01</t>
  </si>
  <si>
    <t>字畅和、屡试未售，生乾隆戊辰（1748年）六月十四日。配刘氏，生乾隆戊辰（1748年）闰七月四日，殁嘉庆元（1796年）十一月二十日，葬香炉石。子一：方达。</t>
  </si>
  <si>
    <t>M001116</t>
  </si>
  <si>
    <t>士衿</t>
  </si>
  <si>
    <t>1758.4.6</t>
  </si>
  <si>
    <t>戊寅年四月初六</t>
  </si>
  <si>
    <t>生乾隆戊寅（1758年）四月六日，早卒。</t>
  </si>
  <si>
    <t>M001117</t>
  </si>
  <si>
    <t>士袗</t>
  </si>
  <si>
    <t>1762.2.29</t>
  </si>
  <si>
    <t>壬午年二月廿九</t>
  </si>
  <si>
    <t>字惠和，生乾隆壬午（1762年）二月二十九日。</t>
  </si>
  <si>
    <t>M001118</t>
  </si>
  <si>
    <t>士崇</t>
  </si>
  <si>
    <t>1758.5.18</t>
  </si>
  <si>
    <t>戊寅年五月十八</t>
  </si>
  <si>
    <t>嘉庆年四月初十日</t>
  </si>
  <si>
    <t>M001118W01</t>
  </si>
  <si>
    <t>字隆望，生乾隆戊寅（1758年）五月十八日，殁楚雄府嘉庆年四月初十日。配杨氏，生乾隆丙子（1756年）九月三十日。子一：方亨。</t>
  </si>
  <si>
    <t>M001119</t>
  </si>
  <si>
    <t>士岳</t>
  </si>
  <si>
    <t>1766.9.28</t>
  </si>
  <si>
    <t>丙戌年九月廿八</t>
  </si>
  <si>
    <t>字怀望，生乾隆丙戌（1766年）九月二十八日，殁四川西昌县。</t>
  </si>
  <si>
    <t>M001120</t>
  </si>
  <si>
    <t>士嶐</t>
  </si>
  <si>
    <t>1771.5.2</t>
  </si>
  <si>
    <t>辛卯年五月初二</t>
  </si>
  <si>
    <t>字宗望，生乾隆辛卯（1771年）五月二日。</t>
  </si>
  <si>
    <t>M001121</t>
  </si>
  <si>
    <t>士嵩</t>
  </si>
  <si>
    <t>1765.5.2</t>
  </si>
  <si>
    <t>乙酉年五月初二</t>
  </si>
  <si>
    <t>字淡隆，生乾隆乙酉（1765年）五月二日。</t>
  </si>
  <si>
    <t>M001122</t>
  </si>
  <si>
    <t>士岗</t>
  </si>
  <si>
    <t>1764.6.25</t>
  </si>
  <si>
    <t>甲申年六月廿五</t>
  </si>
  <si>
    <t>M001122W01</t>
  </si>
  <si>
    <t>左坊左氏</t>
  </si>
  <si>
    <t>字风岩，生乾隆甲申（1764年）六月二十五日。配左坊左氏，生乾隆戊申（1788年）七月二十八日。子一：方肇。</t>
  </si>
  <si>
    <t>M001123</t>
  </si>
  <si>
    <t>士昆</t>
  </si>
  <si>
    <t>1767.6.26</t>
  </si>
  <si>
    <t>丁亥年六月廿六</t>
  </si>
  <si>
    <t>M001123W01</t>
  </si>
  <si>
    <t>虹桥肖氏</t>
  </si>
  <si>
    <t>字钦望，生乾隆丁亥（1767年）六月二十六日。配虹桥肖氏，生乾隆壬子（1792年）十月十九日。</t>
  </si>
  <si>
    <t>M001124</t>
  </si>
  <si>
    <t>士峄</t>
  </si>
  <si>
    <t>1772.8.8</t>
  </si>
  <si>
    <t>壬辰年八月初八</t>
  </si>
  <si>
    <t>字邹望，生乾隆壬辰（1772年）八月八日。</t>
  </si>
  <si>
    <t>M001125</t>
  </si>
  <si>
    <t>士峤</t>
  </si>
  <si>
    <t>1776.12.14</t>
  </si>
  <si>
    <t>丙申年十二月十四</t>
  </si>
  <si>
    <t>M001125W01</t>
  </si>
  <si>
    <t>濠溪黄氏</t>
  </si>
  <si>
    <t>字晋英、业儒，生乾隆丙申（1776年）十二月十四日，配濠溪黄氏，生乾隆庚戌（1790年）三月十四日。子一：方敞。</t>
  </si>
  <si>
    <t>M001126</t>
  </si>
  <si>
    <t>士仑</t>
  </si>
  <si>
    <t>1770.8.17</t>
  </si>
  <si>
    <t>庚寅年八月十七</t>
  </si>
  <si>
    <t>字瑄望，生乾隆庚寅（1770年）八月十七日。</t>
  </si>
  <si>
    <t>M001127</t>
  </si>
  <si>
    <t>士岩</t>
  </si>
  <si>
    <t>1772.11.8</t>
  </si>
  <si>
    <t>壬辰年十一月初八</t>
  </si>
  <si>
    <t>字鲁望，生乾隆壬辰（1772年）十一月八日。</t>
  </si>
  <si>
    <t>M001128</t>
  </si>
  <si>
    <t>士樑</t>
  </si>
  <si>
    <t>1751.9.12</t>
  </si>
  <si>
    <t>辛未年九月十二</t>
  </si>
  <si>
    <t>M001128W01</t>
  </si>
  <si>
    <t>字玉田，生乾隆辛未（1751年）九月十二日。配项氏，生乾隆庚辰（1760年）十月二十日。子一：方鼎。</t>
  </si>
  <si>
    <t>M001129</t>
  </si>
  <si>
    <t>士栋</t>
  </si>
  <si>
    <t>1754.2.5</t>
  </si>
  <si>
    <t>甲戌年二月初五</t>
  </si>
  <si>
    <t>1779.5.13</t>
  </si>
  <si>
    <t>己亥年五月十三</t>
  </si>
  <si>
    <t>生乾隆甲戌（1754年）二月五日，殁乾隆己亥（1779年）五月十三日。</t>
  </si>
  <si>
    <t>M001130</t>
  </si>
  <si>
    <t>士柱</t>
  </si>
  <si>
    <t>1764.1.12</t>
  </si>
  <si>
    <t>甲申年元月十二</t>
  </si>
  <si>
    <t>1792.1.15</t>
  </si>
  <si>
    <t>字雨田，生乾隆甲申（1764年）正月十二日，殁乾隆壬子（1792年）正月十五日。</t>
  </si>
  <si>
    <t>M001131</t>
  </si>
  <si>
    <t>士松</t>
  </si>
  <si>
    <t>1764.6.30</t>
  </si>
  <si>
    <t>甲申年六月三十</t>
  </si>
  <si>
    <t>M001131W01</t>
  </si>
  <si>
    <t>字裕魁，生乾隆甲申（1764年）六月三十日。配唐氏，生乾隆。子一：方全。</t>
  </si>
  <si>
    <t>M001132</t>
  </si>
  <si>
    <t>士禁</t>
  </si>
  <si>
    <t>1774.4.14</t>
  </si>
  <si>
    <t>甲午年四月十四</t>
  </si>
  <si>
    <t>生乾隆甲午（1774年）四月十四日，殁湘潭。</t>
  </si>
  <si>
    <t>M001133</t>
  </si>
  <si>
    <t>士材</t>
  </si>
  <si>
    <t>1778.4.4</t>
  </si>
  <si>
    <t>戊戌年四月初四</t>
  </si>
  <si>
    <t>字卢魁，生乾隆戊戌（1778年）四月四日。</t>
  </si>
  <si>
    <t>M001134</t>
  </si>
  <si>
    <t>士槐</t>
  </si>
  <si>
    <t>1766.9.19</t>
  </si>
  <si>
    <t>丙戌年九月十九</t>
  </si>
  <si>
    <t>M001134W01</t>
  </si>
  <si>
    <t>字蔚池，生乾隆丙戌（1766年）九月十九日，永茂次子继立。配甘氏，子：方城。</t>
  </si>
  <si>
    <t>M001135</t>
  </si>
  <si>
    <t>士桂</t>
  </si>
  <si>
    <t>1764.8.20</t>
  </si>
  <si>
    <t>甲申年八月二十</t>
  </si>
  <si>
    <t>字嵩池，生乾隆甲申（1764年）八月二十日。</t>
  </si>
  <si>
    <t>M001136</t>
  </si>
  <si>
    <t>士楷</t>
  </si>
  <si>
    <t>1770.3.20</t>
  </si>
  <si>
    <t>庚寅年三月二十</t>
  </si>
  <si>
    <t>字钦泉，生乾隆庚寅（1770年）三月二十日。</t>
  </si>
  <si>
    <t>M001137</t>
  </si>
  <si>
    <t>士极</t>
  </si>
  <si>
    <t>1773.3.26</t>
  </si>
  <si>
    <t>癸巳年三月廿六</t>
  </si>
  <si>
    <t>字特子，生乾隆癸巳（1773年）三月二十六日，早卒。</t>
  </si>
  <si>
    <t>M001138</t>
  </si>
  <si>
    <t>士桓</t>
  </si>
  <si>
    <t>1779.1.30</t>
  </si>
  <si>
    <t>己亥年元月三十</t>
  </si>
  <si>
    <t>字昆池，生乾隆己亥（1779年）正月三十日。</t>
  </si>
  <si>
    <t>M001139</t>
  </si>
  <si>
    <t>士耀</t>
  </si>
  <si>
    <t>1788.1.1</t>
  </si>
  <si>
    <t>戊申年元月初一</t>
  </si>
  <si>
    <t>生乾隆戊申（1776年），早卒。</t>
  </si>
  <si>
    <t>M001140</t>
  </si>
  <si>
    <t>士怀</t>
  </si>
  <si>
    <t>1788.2.4</t>
  </si>
  <si>
    <t>戊申年二月初四</t>
  </si>
  <si>
    <t>生乾隆戊申（1788年）二月四日，早卒。</t>
  </si>
  <si>
    <t>M001141</t>
  </si>
  <si>
    <t>士榱</t>
  </si>
  <si>
    <t>1776.11.22</t>
  </si>
  <si>
    <t>丙申年十一月廿二</t>
  </si>
  <si>
    <t>字钦池，生乾隆丙申（1766年）十一月二十二日。</t>
  </si>
  <si>
    <t>M001142</t>
  </si>
  <si>
    <t>士桧</t>
  </si>
  <si>
    <t>1779.7.8</t>
  </si>
  <si>
    <t>己亥年七月初八</t>
  </si>
  <si>
    <t>字清望，生乾隆己亥（1779年）七月八日。</t>
  </si>
  <si>
    <t>M001143</t>
  </si>
  <si>
    <t>士福</t>
  </si>
  <si>
    <t>字余庆，生乾隆。</t>
  </si>
  <si>
    <t>M001144</t>
  </si>
  <si>
    <t>方兴</t>
  </si>
  <si>
    <t>1775.3.26</t>
  </si>
  <si>
    <t>乙未年三月廿六</t>
  </si>
  <si>
    <t>字云峯，生乾隆乙未（1775年）三月二十六日。</t>
  </si>
  <si>
    <t>M001145</t>
  </si>
  <si>
    <t>方光</t>
  </si>
  <si>
    <t>1806.2.3</t>
  </si>
  <si>
    <t>清朝嘉庆十一年</t>
  </si>
  <si>
    <t>丙寅年二月初三</t>
  </si>
  <si>
    <t>生嘉庆丙寅（1806年）二月三日。</t>
  </si>
  <si>
    <t>M001146</t>
  </si>
  <si>
    <t>方谷</t>
  </si>
  <si>
    <t>1803.5.21</t>
  </si>
  <si>
    <t>癸亥年五月廿一</t>
  </si>
  <si>
    <t>字旨远，生嘉庆癸亥（1803年）五月二十一日。</t>
  </si>
  <si>
    <t>M001147</t>
  </si>
  <si>
    <t>方杰</t>
  </si>
  <si>
    <t>1792.8.29</t>
  </si>
  <si>
    <t>壬子年八月廿九</t>
  </si>
  <si>
    <t>字任远，生乾隆壬子（1792年）八月二十九日，子一：丕承。</t>
  </si>
  <si>
    <t>M001148</t>
  </si>
  <si>
    <t>方照</t>
  </si>
  <si>
    <t>1805.4.29</t>
  </si>
  <si>
    <t>乙丑年四月廿九</t>
  </si>
  <si>
    <t>生嘉庆乙丑（1805年）四月二十九日，早卒。</t>
  </si>
  <si>
    <t>M001149</t>
  </si>
  <si>
    <t>方瑞</t>
  </si>
  <si>
    <t>1793.6.6</t>
  </si>
  <si>
    <t>癸丑年六月初六</t>
  </si>
  <si>
    <t>1811.7.27</t>
  </si>
  <si>
    <t>清朝嘉庆十六年</t>
  </si>
  <si>
    <t>辛未年七月廿七</t>
  </si>
  <si>
    <t>生乾隆癸丑（1793年）六月六日，殁嘉庆辛未（1811年）七月二十七日，葬香炉石。</t>
  </si>
  <si>
    <t>M001150</t>
  </si>
  <si>
    <t>方秋</t>
  </si>
  <si>
    <t>1798.6.25</t>
  </si>
  <si>
    <t>清朝嘉庆三年</t>
  </si>
  <si>
    <t>戊午年六月廿五</t>
  </si>
  <si>
    <t>字芬远，生嘉庆戊午（1798年）六月二十五日。</t>
  </si>
  <si>
    <t>M001151</t>
  </si>
  <si>
    <t>方立</t>
  </si>
  <si>
    <t>1784.6.24</t>
  </si>
  <si>
    <t>甲辰年六月廿四</t>
  </si>
  <si>
    <t>M001151W01</t>
  </si>
  <si>
    <t>字豫泰，生乾隆甲辰（1784年）六月二十四日。配肖氏，生嘉庆己未（1799年）四月十二日。子三：善魁、三魁、宗海。</t>
  </si>
  <si>
    <t>M001152</t>
  </si>
  <si>
    <t>方童</t>
  </si>
  <si>
    <t>1795.1.17</t>
  </si>
  <si>
    <t>清朝乾隆六十年</t>
  </si>
  <si>
    <t>乙卯年元月十七</t>
  </si>
  <si>
    <t>生乾隆乙卯（1795年）一月十七日。</t>
  </si>
  <si>
    <t>M001153</t>
  </si>
  <si>
    <t>方孟</t>
  </si>
  <si>
    <t>1797.9.27</t>
  </si>
  <si>
    <t>丁巳年九月廿七</t>
  </si>
  <si>
    <t>生嘉庆丁巳（1797年）九月二十七日。</t>
  </si>
  <si>
    <t>M001154</t>
  </si>
  <si>
    <t>方盛</t>
  </si>
  <si>
    <t>1804.5.18</t>
  </si>
  <si>
    <t>清朝嘉庆九年</t>
  </si>
  <si>
    <t>甲子年五月十八</t>
  </si>
  <si>
    <t>生嘉庆甲子（1804年）五月十八日。</t>
  </si>
  <si>
    <t>M001155</t>
  </si>
  <si>
    <t>方盘</t>
  </si>
  <si>
    <t>1808.6.25</t>
  </si>
  <si>
    <t>戊辰年六月廿五</t>
  </si>
  <si>
    <t>生嘉庆戊辰（1808年）六月二十五日。</t>
  </si>
  <si>
    <t>M001156</t>
  </si>
  <si>
    <t>方盖</t>
  </si>
  <si>
    <t>1810.5.15</t>
  </si>
  <si>
    <t>庚午年五月十五</t>
  </si>
  <si>
    <t>生嘉庆庚午（1810年）五月十五日。</t>
  </si>
  <si>
    <t>M001157</t>
  </si>
  <si>
    <t>方春</t>
  </si>
  <si>
    <t>1811.1.1</t>
  </si>
  <si>
    <t>辛未年元月初一</t>
  </si>
  <si>
    <t>生嘉庆辛未（1811年）一月一日。</t>
  </si>
  <si>
    <t>M001158</t>
  </si>
  <si>
    <t>方岳</t>
  </si>
  <si>
    <t>1795.2.29</t>
  </si>
  <si>
    <t>乙卯年二月廿九</t>
  </si>
  <si>
    <t>字定中，生乾隆乙卯（1795年）二月二十九日。</t>
  </si>
  <si>
    <t>M001159</t>
  </si>
  <si>
    <t>方绂</t>
  </si>
  <si>
    <t>1795.8.3</t>
  </si>
  <si>
    <t>乙卯年八月初三</t>
  </si>
  <si>
    <t>M001159W01</t>
  </si>
  <si>
    <t>字缉屏，生乾隆乙卯（1795年）八月三日，出商云南。配刘氏，生乾隆己卯（1795年）五月十七日。子三：培德、前德、后德。</t>
  </si>
  <si>
    <t>M001160</t>
  </si>
  <si>
    <t>方郁</t>
  </si>
  <si>
    <t>1762.8.7</t>
  </si>
  <si>
    <t>壬午年八月初七</t>
  </si>
  <si>
    <t>字缉周，生乾隆壬午（1762年）八月七日，殁云南。</t>
  </si>
  <si>
    <t>M001161</t>
  </si>
  <si>
    <t>方灼</t>
  </si>
  <si>
    <t>1772.9.29</t>
  </si>
  <si>
    <t>壬辰年九月廿九</t>
  </si>
  <si>
    <t>生乾隆壬辰（1772年）九月二十九日，早卒。</t>
  </si>
  <si>
    <t>M001162</t>
  </si>
  <si>
    <t>方烜</t>
  </si>
  <si>
    <t>1774.11.27</t>
  </si>
  <si>
    <t>甲午年十一月廿七</t>
  </si>
  <si>
    <t>字缉宽，生乾隆甲午（1774年）十一月二十七日。</t>
  </si>
  <si>
    <t>M001163</t>
  </si>
  <si>
    <t>方华</t>
  </si>
  <si>
    <t>1780.9.15</t>
  </si>
  <si>
    <t>庚子年九月十五</t>
  </si>
  <si>
    <t>M001163W01</t>
  </si>
  <si>
    <t>字焕邦，生乾隆庚子（1780年）九月十五日。配彭氏，合葬潭源掌形。子一：丕衍。</t>
  </si>
  <si>
    <t>M001164</t>
  </si>
  <si>
    <t>方彬</t>
  </si>
  <si>
    <t>1764.9.2</t>
  </si>
  <si>
    <t>甲申年九月初二</t>
  </si>
  <si>
    <t>1804.5.12</t>
  </si>
  <si>
    <t>甲子年五月十二</t>
  </si>
  <si>
    <t>字缉邦，生乾隆甲申（1764年）九月初二日，殁嘉庆甲子（1804年）五月十二日，殁云南大姚县。</t>
  </si>
  <si>
    <t>M001165</t>
  </si>
  <si>
    <t>方藻</t>
  </si>
  <si>
    <t>1768.5.19</t>
  </si>
  <si>
    <t>戊子年五月十九</t>
  </si>
  <si>
    <t>M001165W01</t>
  </si>
  <si>
    <t>字泮华，生乾隆戊子（1768年）五月十九日。配王氏，生乾隆庚戌（1790年）二月二十六日。</t>
  </si>
  <si>
    <t>M001166</t>
  </si>
  <si>
    <t>方灏</t>
  </si>
  <si>
    <t>1774.3.25</t>
  </si>
  <si>
    <t>甲午年三月廿五</t>
  </si>
  <si>
    <t>字志梁，生乾隆甲午（1774年）三月二十五日。</t>
  </si>
  <si>
    <t>M001167</t>
  </si>
  <si>
    <t>方洗</t>
  </si>
  <si>
    <t>1780.9.9</t>
  </si>
  <si>
    <t>庚子年九月初九</t>
  </si>
  <si>
    <t>字泮苏，生乾隆庚子（1780年）九月九日。</t>
  </si>
  <si>
    <t>M001168</t>
  </si>
  <si>
    <t>方谟</t>
  </si>
  <si>
    <t>M001169</t>
  </si>
  <si>
    <t>方讦</t>
  </si>
  <si>
    <t>1771.6.29</t>
  </si>
  <si>
    <t>辛卯年六月廿九</t>
  </si>
  <si>
    <t>字俊华，生乾隆辛卯（1771年）六月二十九日。（旁注手写：官）</t>
  </si>
  <si>
    <t>M001170</t>
  </si>
  <si>
    <t>方瀚</t>
  </si>
  <si>
    <t>1771.4.21</t>
  </si>
  <si>
    <t>辛卯年四月廿一</t>
  </si>
  <si>
    <t>字文魁，生乾隆辛卯（1771年）四月二十一日，殁宜威州。（旁注手写：官）</t>
  </si>
  <si>
    <t>M001171</t>
  </si>
  <si>
    <t>方规</t>
  </si>
  <si>
    <t>1780.8.15</t>
  </si>
  <si>
    <t>庚子年八月十五</t>
  </si>
  <si>
    <t>字志员，生乾隆庚子（1780年）八月十五日。</t>
  </si>
  <si>
    <t>M001172</t>
  </si>
  <si>
    <t>方询</t>
  </si>
  <si>
    <t>1768.6.24</t>
  </si>
  <si>
    <t>戊子年六月廿四</t>
  </si>
  <si>
    <t>字攀桂，生乾隆戊子（1768年）六月二十四日，成室大姚县。</t>
  </si>
  <si>
    <t>M001173</t>
  </si>
  <si>
    <t>方治</t>
  </si>
  <si>
    <t>1771.8.17</t>
  </si>
  <si>
    <t>辛卯年八月十七</t>
  </si>
  <si>
    <t>字达邦，生乾隆辛卯（1771年）八月十七日。</t>
  </si>
  <si>
    <t>M001174</t>
  </si>
  <si>
    <t>方淳</t>
  </si>
  <si>
    <t>1774.9.15</t>
  </si>
  <si>
    <t>甲午年九月十五</t>
  </si>
  <si>
    <t>字彦邦，生乾隆甲午（1774年）九月十五日。</t>
  </si>
  <si>
    <t>M001175</t>
  </si>
  <si>
    <t>方梅</t>
  </si>
  <si>
    <t>1771.3.7</t>
  </si>
  <si>
    <t>辛卯年三月初七</t>
  </si>
  <si>
    <t>字济邦，生乾隆辛卯（1771年）三月七日。</t>
  </si>
  <si>
    <t>M001176</t>
  </si>
  <si>
    <t>方椿</t>
  </si>
  <si>
    <t>1773.5.11</t>
  </si>
  <si>
    <t>癸巳年五月十一</t>
  </si>
  <si>
    <t>M001176W01</t>
  </si>
  <si>
    <t>字仪邦，生乾隆癸巳（1773年）五月十一日。配会氏，生乾隆乙巳（1785年）九月四日。子一：丕绪。</t>
  </si>
  <si>
    <t>M001177</t>
  </si>
  <si>
    <t>方曜</t>
  </si>
  <si>
    <t>1783.7.10</t>
  </si>
  <si>
    <t>癸卯年七月初十</t>
  </si>
  <si>
    <t>1810.5.23</t>
  </si>
  <si>
    <t>庚午年五月廿三</t>
  </si>
  <si>
    <t>M001177W01</t>
  </si>
  <si>
    <t>专坊鲁氏</t>
  </si>
  <si>
    <t>字紫垣，生乾隆癸卯（1783年）七月十日，殁嘉庆庚午（1818年）五月二十三日。配专坊鲁氏，生乾隆戊申（1788年）十二月五日。</t>
  </si>
  <si>
    <t>M001178</t>
  </si>
  <si>
    <t>方暹</t>
  </si>
  <si>
    <t>1798.9.12</t>
  </si>
  <si>
    <t>戊午年九月十二</t>
  </si>
  <si>
    <t>M001178W01</t>
  </si>
  <si>
    <t>前溪刘氏</t>
  </si>
  <si>
    <t>字又苑，生嘉庆戊午（1798年）九月十二日。配前溪刘氏，生嘉庆辛酉（1801年）十一月五日。</t>
  </si>
  <si>
    <t>M001179</t>
  </si>
  <si>
    <t>方达</t>
  </si>
  <si>
    <t>1768.1.1</t>
  </si>
  <si>
    <t>字贡才，生乾隆戊子（1768年），成室云南抱母井，子一：丕承。</t>
  </si>
  <si>
    <t>M001180</t>
  </si>
  <si>
    <t>方亨</t>
  </si>
  <si>
    <t>1787.4.1</t>
  </si>
  <si>
    <t>丁未年四月初一</t>
  </si>
  <si>
    <t>字体干，生乾隆丁未（1787年）四月一日。</t>
  </si>
  <si>
    <t>M001181</t>
  </si>
  <si>
    <t>方肇</t>
  </si>
  <si>
    <t>1808.1.8</t>
  </si>
  <si>
    <t>戊辰年元月初八</t>
  </si>
  <si>
    <t>生嘉庆戊辰（1808年）一月八日。</t>
  </si>
  <si>
    <t>M001182</t>
  </si>
  <si>
    <t>方敞</t>
  </si>
  <si>
    <t>1813.5.5</t>
  </si>
  <si>
    <t>癸酉年五月初五</t>
  </si>
  <si>
    <t>生嘉庆癸酉（1813年）五月五日。</t>
  </si>
  <si>
    <t>M001183</t>
  </si>
  <si>
    <t>方鼎</t>
  </si>
  <si>
    <t>1793.10.17</t>
  </si>
  <si>
    <t>癸丑年十月十七</t>
  </si>
  <si>
    <t>字志运，生乾隆癸丑（1793年）十月十七日。</t>
  </si>
  <si>
    <t>M001184</t>
  </si>
  <si>
    <t>方全</t>
  </si>
  <si>
    <t>1807.3.20</t>
  </si>
  <si>
    <t>丁卯年三月二十</t>
  </si>
  <si>
    <t>生嘉庆丁卯（1807年）三月二十日。</t>
  </si>
  <si>
    <t>M001185</t>
  </si>
  <si>
    <t>方城</t>
  </si>
  <si>
    <t>1814.8.28</t>
  </si>
  <si>
    <t>甲戌年八月廿八</t>
  </si>
  <si>
    <t>生嘉庆甲戌（1814年）八月二十八日。 附注：在此前是公元1811年，第六次续修族谱案存，距今第七次续修族谱时隔198年之久，部分世系脉络图系衔接不上，无法考证，望理解。</t>
  </si>
  <si>
    <t>M001186</t>
  </si>
  <si>
    <t>丕承</t>
  </si>
  <si>
    <t>1812.8.2</t>
  </si>
  <si>
    <t>壬申年八月初二</t>
  </si>
  <si>
    <t>生嘉庆壬申1812年八月二日。</t>
  </si>
  <si>
    <t>M001187</t>
  </si>
  <si>
    <t>丕绪</t>
  </si>
  <si>
    <t>1812.6.14</t>
  </si>
  <si>
    <t>壬申年六月十四</t>
  </si>
  <si>
    <t>生嘉庆壬申1812年六月十四日。</t>
  </si>
  <si>
    <t>M001188</t>
  </si>
  <si>
    <t>丕衍</t>
  </si>
  <si>
    <t>M001188W01</t>
  </si>
  <si>
    <t>李喜珠</t>
  </si>
  <si>
    <t>配李喜珠，子四：世福、世禄、世寿、世贵。</t>
  </si>
  <si>
    <t>M001189</t>
  </si>
  <si>
    <t>章德</t>
  </si>
  <si>
    <t>M001189W01</t>
  </si>
  <si>
    <t>村沛杨氏</t>
  </si>
  <si>
    <t>配村沛杨氏，葬潭源掌形，子二：泰瑞、聚瑞。</t>
  </si>
  <si>
    <t>M001190</t>
  </si>
  <si>
    <t>前德</t>
  </si>
  <si>
    <t>1937</t>
  </si>
  <si>
    <t>1937年</t>
  </si>
  <si>
    <t>丁丑年</t>
  </si>
  <si>
    <t>M001190W01</t>
  </si>
  <si>
    <t>前溪刘情珠</t>
  </si>
  <si>
    <t>配前溪刘情珠，殁1937年，葬潭源掌形。子一：嘉瑞、女一：绒珠。</t>
  </si>
  <si>
    <t>M001191</t>
  </si>
  <si>
    <t>M001191W01</t>
  </si>
  <si>
    <t>张氏良娘</t>
  </si>
  <si>
    <t>配张氏良娘，葬对门岑龙形，女一：爱珠。</t>
  </si>
  <si>
    <t>M001192</t>
  </si>
  <si>
    <t>后德</t>
  </si>
  <si>
    <t>沙谷</t>
  </si>
  <si>
    <t>葬沙谷。</t>
  </si>
  <si>
    <t>M001193</t>
  </si>
  <si>
    <t>裕崇</t>
  </si>
  <si>
    <t>1845/5/22</t>
  </si>
  <si>
    <t>M001194</t>
  </si>
  <si>
    <t>相德</t>
  </si>
  <si>
    <t>潭源掌形，抚1子园瑞</t>
  </si>
  <si>
    <t>M001194W01</t>
  </si>
  <si>
    <t>左方肖忠珠</t>
  </si>
  <si>
    <t>配左方肖忠珠，葬潭源掌形，抚1子园瑞。</t>
  </si>
  <si>
    <t>M001195</t>
  </si>
  <si>
    <t>崇德</t>
  </si>
  <si>
    <t>葬潭源掌形，子四：邦瑞、庭瑞、红瑞、园瑞（出继相德）。</t>
  </si>
  <si>
    <t>M001196</t>
  </si>
  <si>
    <t>阑禧</t>
  </si>
  <si>
    <t>子二：禧瑞、助瑞（出继六禧）。</t>
  </si>
  <si>
    <t>M001197</t>
  </si>
  <si>
    <t>子一：祥瑞</t>
  </si>
  <si>
    <t>M001198</t>
  </si>
  <si>
    <t>六禧</t>
  </si>
  <si>
    <t>葬对门岑龙形，子一：助瑞（阑禧过继）。</t>
  </si>
  <si>
    <t>M001199</t>
  </si>
  <si>
    <t>善魁</t>
  </si>
  <si>
    <t>M001199W01</t>
  </si>
  <si>
    <t>刘润珠</t>
  </si>
  <si>
    <t>配刘润珠，子一：楷秀。</t>
  </si>
  <si>
    <t>M001200</t>
  </si>
  <si>
    <t>三魁</t>
  </si>
  <si>
    <t>M001201</t>
  </si>
  <si>
    <t>宗海</t>
  </si>
  <si>
    <t>M001202</t>
  </si>
  <si>
    <t>丕谟</t>
  </si>
  <si>
    <t>字福禧，子一：明瑞（丕训过继）。（旁注手写：宗海 林 秀 生 桂）</t>
  </si>
  <si>
    <t>M001203</t>
  </si>
  <si>
    <t>丕训</t>
  </si>
  <si>
    <t>M001203W01</t>
  </si>
  <si>
    <t>朱全珠</t>
  </si>
  <si>
    <t>字五禧，葬潭源掌形，配朱全珠，葬对门岑龙形，子一：明瑞。</t>
  </si>
  <si>
    <t>M001204</t>
  </si>
  <si>
    <t>丕继</t>
  </si>
  <si>
    <t>1845.5.22</t>
  </si>
  <si>
    <t>清朝道光二十五年</t>
  </si>
  <si>
    <t>乙巳年五月廿二</t>
  </si>
  <si>
    <t>1921.1.25</t>
  </si>
  <si>
    <t>1921年</t>
  </si>
  <si>
    <t>辛酉年元月廿五</t>
  </si>
  <si>
    <t>生道光乙巳1845年五月二十二日，殁民国辛酉1921年一月二十五日，子一：世昌。</t>
  </si>
  <si>
    <t>M001205</t>
  </si>
  <si>
    <t>泰瑞</t>
  </si>
  <si>
    <t>葬潭源掌形，子二：继美、三美。</t>
  </si>
  <si>
    <t>M001206</t>
  </si>
  <si>
    <t>聚瑞</t>
  </si>
  <si>
    <t>M001206W01</t>
  </si>
  <si>
    <t>上西溪颜如珠</t>
  </si>
  <si>
    <t>配上西溪颜如珠，同葬潭源掌形，子二：忠美、成美，女二：喜珠、秀珠。</t>
  </si>
  <si>
    <t>M001207</t>
  </si>
  <si>
    <t>嘉瑞</t>
  </si>
  <si>
    <t>1903.1.1</t>
  </si>
  <si>
    <t>清朝光绪二十九年</t>
  </si>
  <si>
    <t>癸卯年元月初一</t>
  </si>
  <si>
    <t>1982.9.1</t>
  </si>
  <si>
    <t>1982年</t>
  </si>
  <si>
    <t>壬戌年九月初一</t>
  </si>
  <si>
    <t>M001207W01</t>
  </si>
  <si>
    <t>村沛杨多珠</t>
  </si>
  <si>
    <t>生1903年，殁1982年九月，配村沛杨多珠，葬潭源掌形。子一：池美，女一：教珠。</t>
  </si>
  <si>
    <t>M001208</t>
  </si>
  <si>
    <t>园瑞</t>
  </si>
  <si>
    <t>M001208W01</t>
  </si>
  <si>
    <t>坊下彭意珠</t>
  </si>
  <si>
    <t>配坊下彭意珠，葬潭源掌形。子一：子美（抚嗣），女一：有珠。</t>
  </si>
  <si>
    <t>M001209</t>
  </si>
  <si>
    <t>邦瑞</t>
  </si>
  <si>
    <t>M001209W01</t>
  </si>
  <si>
    <t>本乡草塘刘救珠</t>
  </si>
  <si>
    <t>配本乡草塘刘救珠，葬对门岑龙形。子一：盛美。</t>
  </si>
  <si>
    <t>M001210</t>
  </si>
  <si>
    <t>庭瑞</t>
  </si>
  <si>
    <t>1882.1.25</t>
  </si>
  <si>
    <t>壬午年元月廿五</t>
  </si>
  <si>
    <t>1952.3.24</t>
  </si>
  <si>
    <t>1952年</t>
  </si>
  <si>
    <t>壬辰年三月廿四</t>
  </si>
  <si>
    <t>M001210W01</t>
  </si>
  <si>
    <t>本乡前溪陈意珠</t>
  </si>
  <si>
    <t>生1882年一月二十五日，殁1952年三月二十四日。配本乡前溪陈意珠，子二：鉴美、稳美。</t>
  </si>
  <si>
    <t>M001211</t>
  </si>
  <si>
    <t>禧瑞</t>
  </si>
  <si>
    <t>1886.2.21</t>
  </si>
  <si>
    <t>清朝光绪十二年</t>
  </si>
  <si>
    <t>丙戌年二月廿一</t>
  </si>
  <si>
    <t>1932.11.2</t>
  </si>
  <si>
    <t>壬申年十一月初二</t>
  </si>
  <si>
    <t>M001211W01</t>
  </si>
  <si>
    <t>本乡围头王黄英</t>
  </si>
  <si>
    <t>生1886年二月二十一日，殁1932年十一月二日。配本乡围头王黄英，生1890年二月二十五日，殁1932年十一月二日，葬对门岑龙形。子五：双美、汗美、天美，文美（出继助瑞），教美（出继槎江）。</t>
  </si>
  <si>
    <t>M001212</t>
  </si>
  <si>
    <t>祥瑞</t>
  </si>
  <si>
    <t>M001212W01</t>
  </si>
  <si>
    <t>肖台英</t>
  </si>
  <si>
    <t>配肖台英，葬对门岑龙形。子一：富美。</t>
  </si>
  <si>
    <t>M001213</t>
  </si>
  <si>
    <t>助瑞</t>
  </si>
  <si>
    <t>M001213W01</t>
  </si>
  <si>
    <t>刘掌形</t>
  </si>
  <si>
    <t>配金田刘掌形，葬对门岑龙形。子一：（由禧瑞过继）文美。</t>
  </si>
  <si>
    <t>M001214</t>
  </si>
  <si>
    <t>楷秀</t>
  </si>
  <si>
    <t>M001214W01</t>
  </si>
  <si>
    <t>刘美珠</t>
  </si>
  <si>
    <t>配刘美珠，子一：浩伍。</t>
  </si>
  <si>
    <t>M001215</t>
  </si>
  <si>
    <t>林秀</t>
  </si>
  <si>
    <t>字宗海</t>
  </si>
  <si>
    <t>M001216</t>
  </si>
  <si>
    <t>生桂</t>
  </si>
  <si>
    <t>M001217</t>
  </si>
  <si>
    <t>明瑞</t>
  </si>
  <si>
    <t>1884.3.5</t>
  </si>
  <si>
    <t>清朝光绪十年</t>
  </si>
  <si>
    <t>甲申年三月初五</t>
  </si>
  <si>
    <t>1956.1.15</t>
  </si>
  <si>
    <t>1956年</t>
  </si>
  <si>
    <t>丙申年元月十五</t>
  </si>
  <si>
    <t>M001217W01</t>
  </si>
  <si>
    <t>侄妻朱坮妹</t>
  </si>
  <si>
    <t>字世文，生1884年三月五日，殁1956年一月十五日，葬潭源掌形。配侄妻朱坮妹，生光绪22年丙申1896年，殁1955年十月十七日，葬潭源掌形。子一：载美，女一：好珠。</t>
  </si>
  <si>
    <t>M001218</t>
  </si>
  <si>
    <t>世福</t>
  </si>
  <si>
    <t>1934.11.2</t>
  </si>
  <si>
    <t>1934年</t>
  </si>
  <si>
    <t>甲戌年十一月初二</t>
  </si>
  <si>
    <t>M001218W01</t>
  </si>
  <si>
    <t>刘六珠</t>
  </si>
  <si>
    <t>配刘六珠，殁民国甲戌年十一月二日，葬潭源掌形。子三：集贤、恩贤、广贤。</t>
  </si>
  <si>
    <t>M001219</t>
  </si>
  <si>
    <t>世昌</t>
  </si>
  <si>
    <t>1885.10.8</t>
  </si>
  <si>
    <t>清朝光绪十一年</t>
  </si>
  <si>
    <t>乙酉年十月初八</t>
  </si>
  <si>
    <t>1924.1.2</t>
  </si>
  <si>
    <t>1924年</t>
  </si>
  <si>
    <t>甲子年元月初二</t>
  </si>
  <si>
    <t>生光绪乙酉年十月八日，殁民国甲子年一月二日。子一：砚贤。</t>
  </si>
  <si>
    <t>M001220</t>
  </si>
  <si>
    <t>绒珠</t>
  </si>
  <si>
    <t>女</t>
  </si>
  <si>
    <t>适上太路高执相。</t>
  </si>
  <si>
    <t>M001221</t>
  </si>
  <si>
    <t>爱珠</t>
  </si>
  <si>
    <t>M001222</t>
  </si>
  <si>
    <t>继美</t>
  </si>
  <si>
    <t>1954.1.1</t>
  </si>
  <si>
    <t>M001222W01</t>
  </si>
  <si>
    <t>围斗王春珠</t>
  </si>
  <si>
    <t>殁1954年，配围斗王春珠，殁1975年，同葬潭源掌形。子三：星才、雄才、招才，女二：珍珠、完珠。</t>
  </si>
  <si>
    <t>M001223</t>
  </si>
  <si>
    <t>三美</t>
  </si>
  <si>
    <t>M001224</t>
  </si>
  <si>
    <t>忠美</t>
  </si>
  <si>
    <t>M001224W01</t>
  </si>
  <si>
    <t>永新下街肖转珠</t>
  </si>
  <si>
    <t>配永新下街肖转珠，同葬潭源掌形。子二：生才、文照出继潭源，女二：宝珠、五珠。</t>
  </si>
  <si>
    <t>M001225</t>
  </si>
  <si>
    <t>成美</t>
  </si>
  <si>
    <t>M001225W01</t>
  </si>
  <si>
    <t>朱银珠</t>
  </si>
  <si>
    <t>配槎江朱银珠，同葬对门岑龙形。子三：发才、付才、有才，女一：活珠。</t>
  </si>
  <si>
    <t>M001226</t>
  </si>
  <si>
    <t>池美</t>
  </si>
  <si>
    <t>1939.8.1</t>
  </si>
  <si>
    <t>1939年</t>
  </si>
  <si>
    <t>己卯年八月初一</t>
  </si>
  <si>
    <t>2004.12.1</t>
  </si>
  <si>
    <t>2004年</t>
  </si>
  <si>
    <t>甲申年十二月初一</t>
  </si>
  <si>
    <t>M001226W01</t>
  </si>
  <si>
    <t>本县塘坊朱翠莹</t>
  </si>
  <si>
    <t>M001227</t>
  </si>
  <si>
    <t>子美</t>
  </si>
  <si>
    <t>1948.9.15</t>
  </si>
  <si>
    <t>戊子年九月十五</t>
  </si>
  <si>
    <t>M001227W01</t>
  </si>
  <si>
    <t>乡西溪彭爱珠</t>
  </si>
  <si>
    <t>生1948年九月十五日，配金田乡西溪彭爱珠，生1950年三月二十一日。子一：要才，女三：小莲、桂莲、润莲。</t>
  </si>
  <si>
    <t>M001228</t>
  </si>
  <si>
    <t>盛美</t>
  </si>
  <si>
    <t>1936.8.23</t>
  </si>
  <si>
    <t>1936年</t>
  </si>
  <si>
    <t>丙子年八月廿三</t>
  </si>
  <si>
    <t>M001228W01</t>
  </si>
  <si>
    <t>朱年英_x000D__x000D_
王兰英</t>
  </si>
  <si>
    <t>生民国辛酉八月二十三日，葬对门岑龙形。配槎江朱年英，葬对门岑龙形，女一：满珠。续配加溪王兰英，生民国辛酉八月二十日，子一：军才。</t>
  </si>
  <si>
    <t>M001229</t>
  </si>
  <si>
    <t>鉴美</t>
  </si>
  <si>
    <t>1926.6.16</t>
  </si>
  <si>
    <t>1926年</t>
  </si>
  <si>
    <t>丙寅年六月十六</t>
  </si>
  <si>
    <t>1999.9.1</t>
  </si>
  <si>
    <t>1999年</t>
  </si>
  <si>
    <t>己卯年九月初一</t>
  </si>
  <si>
    <t>M001229W01</t>
  </si>
  <si>
    <t>朱招英</t>
  </si>
  <si>
    <t>生1926年六月十六日，配槎江朱招英，生民国辛未年十月十一日，殁1999年九月，葬潭源掌形。子四：爱才、贵才、林才、天才，女一：清莲。</t>
  </si>
  <si>
    <t>M001230</t>
  </si>
  <si>
    <t>稳美</t>
  </si>
  <si>
    <t>1933.2.7</t>
  </si>
  <si>
    <t>1933年</t>
  </si>
  <si>
    <t>癸酉年二月初七</t>
  </si>
  <si>
    <t>2005.12.1</t>
  </si>
  <si>
    <t>2005年</t>
  </si>
  <si>
    <t>乙酉年十二月初一</t>
  </si>
  <si>
    <t>M001230W01</t>
  </si>
  <si>
    <t>本村张招珠</t>
  </si>
  <si>
    <t>生1933年二月七日，殁2005年十二月，葬潭源掌形。配本村张家张招珠，生1934年六月十九日。子一：建才，女一：玉梅。</t>
  </si>
  <si>
    <t>M001231</t>
  </si>
  <si>
    <t>双美</t>
  </si>
  <si>
    <t>1919.6.13</t>
  </si>
  <si>
    <t>民国八年</t>
  </si>
  <si>
    <t>己未年六月十三</t>
  </si>
  <si>
    <t>1977.6.6</t>
  </si>
  <si>
    <t>1977年</t>
  </si>
  <si>
    <t>丁巳年六月初六</t>
  </si>
  <si>
    <t>M001231W01</t>
  </si>
  <si>
    <t>永新马田刘金娥</t>
  </si>
  <si>
    <t>生1919年六月十三日，殁1977年六月六日，葬潭源掌形。配永新马田刘金娥，生1919年五月二十五日，殁1972年七月二十五日，葬潭源掌形。子二：国才、良才出继槎昌，女三：发英、财英、快英。</t>
  </si>
  <si>
    <t>M001232</t>
  </si>
  <si>
    <t>汗美</t>
  </si>
  <si>
    <t>对岑龙形</t>
  </si>
  <si>
    <t>1918.1.1</t>
  </si>
  <si>
    <t>民国七年</t>
  </si>
  <si>
    <t>1988.2.18</t>
  </si>
  <si>
    <t>1988年</t>
  </si>
  <si>
    <t>戊辰年二月十八</t>
  </si>
  <si>
    <t>M001232W01</t>
  </si>
  <si>
    <t>刘宝珠</t>
  </si>
  <si>
    <t>生民国戊午年，殁1988年二月十八日，配潭源刘宝珠，生1918年，殁1985年八月四日，同葬对岑龙形。子三：兴才、万才、三才，女三：金珠、多珠、银珠。</t>
  </si>
  <si>
    <t>M001233</t>
  </si>
  <si>
    <t>天美</t>
  </si>
  <si>
    <t>1924.1.1</t>
  </si>
  <si>
    <t>甲子年元月初一</t>
  </si>
  <si>
    <t>1994.4.1</t>
  </si>
  <si>
    <t>1994年</t>
  </si>
  <si>
    <t>甲戌年四月初一</t>
  </si>
  <si>
    <t>M001233W01</t>
  </si>
  <si>
    <t>沙龙刘九英</t>
  </si>
  <si>
    <t>生1924年，殁1994年四月。配沙龙刘九英，殁1991年，同葬对门岑龙形。子一：永才（抚嗣）。</t>
  </si>
  <si>
    <t>M001234</t>
  </si>
  <si>
    <t>文美</t>
  </si>
  <si>
    <t>1925.12.1</t>
  </si>
  <si>
    <t>1925年</t>
  </si>
  <si>
    <t>乙丑年十二月初一</t>
  </si>
  <si>
    <t>1995.11.9</t>
  </si>
  <si>
    <t>1995年</t>
  </si>
  <si>
    <t>乙亥年十一月初九</t>
  </si>
  <si>
    <t>M001234W01</t>
  </si>
  <si>
    <t>朱救英</t>
  </si>
  <si>
    <t>生1925年十二月，殁1995年十一月九日。配槎江朱救英，殁1994年十一月二十五日，同葬对门岑龙形。子一：远才抚嗣，女二：琳娥、伏媛。</t>
  </si>
  <si>
    <t>M001235</t>
  </si>
  <si>
    <t>教美</t>
  </si>
  <si>
    <t>出嗣槎江，改姓朱，后不立系。</t>
  </si>
  <si>
    <t>M001236</t>
  </si>
  <si>
    <t>富美</t>
  </si>
  <si>
    <t>M001236W01</t>
  </si>
  <si>
    <t>永新河洲刘招英</t>
  </si>
  <si>
    <t>配永新河洲刘招英，同葬对门岑龙形。子二：春才、冬才，女一：喜英。</t>
  </si>
  <si>
    <t>M001237</t>
  </si>
  <si>
    <t>浩伍</t>
  </si>
  <si>
    <t>对门岭上</t>
  </si>
  <si>
    <t>M001237W01</t>
  </si>
  <si>
    <t>朱怡娘</t>
  </si>
  <si>
    <t>殁1918年，葬对门岭上。配朱怡娘，生光绪1896年，殁1955年十月十七日，葬潭源掌形。子一：江才。</t>
  </si>
  <si>
    <t>M001238</t>
  </si>
  <si>
    <t>载美</t>
  </si>
  <si>
    <t>1936.7.1</t>
  </si>
  <si>
    <t>丙子年七月初一</t>
  </si>
  <si>
    <t>M001238W01</t>
  </si>
  <si>
    <t>柘溪刘菊英</t>
  </si>
  <si>
    <t>生1936年七月一日，中共党员（手写：江西冶金学院），配金田柘溪刘菊英，生1944年二月十九日。子三：纳才、储才、库才，女二：晓艳、晓红。</t>
  </si>
  <si>
    <t>M001239</t>
  </si>
  <si>
    <t>集贤</t>
  </si>
  <si>
    <t>M001239W01</t>
  </si>
  <si>
    <t>王早英</t>
  </si>
  <si>
    <t>葬潭源掌形，配加溪王早英，葬对门岑龙形。子一：星耀，女五：书英、春英、秀英、顺英、园英。</t>
  </si>
  <si>
    <t>M001240</t>
  </si>
  <si>
    <t>恩贤</t>
  </si>
  <si>
    <t>1911.4.1</t>
  </si>
  <si>
    <t>清朝宣统三年</t>
  </si>
  <si>
    <t>辛亥年四月初一</t>
  </si>
  <si>
    <t>1976.2.1</t>
  </si>
  <si>
    <t>1976年</t>
  </si>
  <si>
    <t>丙辰年二月初一</t>
  </si>
  <si>
    <t>M001240W01</t>
  </si>
  <si>
    <t>柘田岩谷周端英</t>
  </si>
  <si>
    <t>生1911年四月，殁1976年二月，葬对门岑龙形。配柘田岩谷周端英，生1912年五月，殁1974年七月，葬潭源掌形。子二：景耀、再耀，女二：掌珠、金珠。</t>
  </si>
  <si>
    <t>M001241</t>
  </si>
  <si>
    <t>广贤</t>
  </si>
  <si>
    <t>1915.4.1</t>
  </si>
  <si>
    <t>民国四年</t>
  </si>
  <si>
    <t>乙卯年四月初一</t>
  </si>
  <si>
    <t>1983.8.1</t>
  </si>
  <si>
    <t>1983年</t>
  </si>
  <si>
    <t>癸亥年八月初一</t>
  </si>
  <si>
    <t>M001241W01</t>
  </si>
  <si>
    <t>永新刘有珠</t>
  </si>
  <si>
    <t>生1915年四月，殁1983年八月。配永新刘有珠，生1926年二月，殁2002年三月，同葬对门岑龙形。子三：开耀、茂耀、盛耀，女二：花珠、新珠。</t>
  </si>
  <si>
    <t>M001242</t>
  </si>
  <si>
    <t>砚贤</t>
  </si>
  <si>
    <t>1912.2.1</t>
  </si>
  <si>
    <t>民国元年</t>
  </si>
  <si>
    <t>壬子年二月初一</t>
  </si>
  <si>
    <t>1962.1.1</t>
  </si>
  <si>
    <t>M001242W01</t>
  </si>
  <si>
    <t>上街刘告英</t>
  </si>
  <si>
    <t>生民国壬寅年二月，殁1962年，葬对门岑龙形。配上街刘告英，子一：积耀，女一：爱英。</t>
  </si>
  <si>
    <t>M001243</t>
  </si>
  <si>
    <t>好珠</t>
  </si>
  <si>
    <t>金田横溪花果山，适金田横溪王锡典</t>
  </si>
  <si>
    <t>1941.11.17</t>
  </si>
  <si>
    <t>1941年</t>
  </si>
  <si>
    <t>辛巳年十一月十七</t>
  </si>
  <si>
    <t>2006.7.19</t>
  </si>
  <si>
    <t>2006年</t>
  </si>
  <si>
    <t>丙戌年七月十九</t>
  </si>
  <si>
    <t>生民国辛巳1941年十一月十七日，殁2006年七月十九日，葬金田横溪花果山，适金田横溪王锡典。</t>
  </si>
  <si>
    <t>M001244</t>
  </si>
  <si>
    <t>教珠</t>
  </si>
  <si>
    <t>1937.1.1</t>
  </si>
  <si>
    <t>丁丑年元月初一</t>
  </si>
  <si>
    <t>生1937年，适肖坊罗立德。</t>
  </si>
  <si>
    <t>M001245</t>
  </si>
  <si>
    <t>喜珠</t>
  </si>
  <si>
    <t>适金田峡陂。</t>
  </si>
  <si>
    <t>M001246</t>
  </si>
  <si>
    <t>秀珠</t>
  </si>
  <si>
    <t>适峡陂围里朱采凡。</t>
  </si>
  <si>
    <t>M001247</t>
  </si>
  <si>
    <t>有珠</t>
  </si>
  <si>
    <t>适本村下沧洲旷水祥。</t>
  </si>
  <si>
    <t>ZA0001</t>
  </si>
  <si>
    <t>芬</t>
  </si>
  <si>
    <t>忠爱堂</t>
  </si>
  <si>
    <t>车头</t>
  </si>
  <si>
    <t>1456.9.1</t>
  </si>
  <si>
    <t>明朝景泰七年</t>
  </si>
  <si>
    <t>丙子年九月初一</t>
  </si>
  <si>
    <t>1503.5.8</t>
  </si>
  <si>
    <t>明朝弘治十六年</t>
  </si>
  <si>
    <t>癸亥年五月初八</t>
  </si>
  <si>
    <t>ZA0001W01</t>
  </si>
  <si>
    <t>忠爱堂祖</t>
  </si>
  <si>
    <t>字道岍，号魁正，房名忠爱堂，生景泰丙子（1456年）九月一日，殁宏治癸亥（1503年）五月初八日，葬山背屋后人形壬山丙向。配左氏，生景泰辛未（1451年）二月十九日，殁嘉靖丁亥（1527年）四月十六日，同葬人形。子一：**髦受**。</t>
  </si>
  <si>
    <t>ZA0002</t>
  </si>
  <si>
    <t>髦受</t>
  </si>
  <si>
    <t>1474.9.2</t>
  </si>
  <si>
    <t>明朝成化十年</t>
  </si>
  <si>
    <t>甲午年九月初二</t>
  </si>
  <si>
    <t>1532.1.28</t>
  </si>
  <si>
    <t>壬辰年元月廿八</t>
  </si>
  <si>
    <t>ZA0002W01</t>
  </si>
  <si>
    <t>字用庭，生成化甲午（1474年）九月初二日，殁嘉靖壬辰（1532年）正月二十八日，葬人形壬山丙向。配妻刘氏，生成化丁未（1487年）十一月十一日，殁嘉靖丙子（1516年）四月二十六日，葬人形。子二：**素先**、**启先**。</t>
  </si>
  <si>
    <t>ZA0003</t>
  </si>
  <si>
    <t>素先</t>
  </si>
  <si>
    <t>1504.7.5</t>
  </si>
  <si>
    <t>明朝弘治十七年</t>
  </si>
  <si>
    <t>甲子年七月初五</t>
  </si>
  <si>
    <t>ZA0003W01</t>
  </si>
  <si>
    <t>字遇辉，生宏治甲子（1504年）七月五日，葬人形。配妻谢氏，生正德丙寅（1506年）正月初四日，殁加靖乙巳（1545年）九月十五日，葬汶山人形。子一：**贵鸾**。</t>
  </si>
  <si>
    <t>ZA0004</t>
  </si>
  <si>
    <t>启先</t>
  </si>
  <si>
    <t>ZA0005</t>
  </si>
  <si>
    <t>贵鸾</t>
  </si>
  <si>
    <t>后山人形</t>
  </si>
  <si>
    <t>1526.5.24</t>
  </si>
  <si>
    <t>丙戌年五月廿四</t>
  </si>
  <si>
    <t>1575.2.29</t>
  </si>
  <si>
    <t>明朝万历三年</t>
  </si>
  <si>
    <t>乙亥年二月廿九</t>
  </si>
  <si>
    <t>ZA0005W01</t>
  </si>
  <si>
    <t>生嘉靖丙戌（1526年）五月二十四日，殁万历乙亥二月二十九日。配妻胡氏，生嘉靖癸未（1523年）正月初四日，殁万历乙酉年八月十六日，葬后山人形壬山丙向。子五：**宜兴**、**宜定**、**宜云**、**宜华**、**宜富**。</t>
  </si>
  <si>
    <t>ZA0006</t>
  </si>
  <si>
    <t>宜兴</t>
  </si>
  <si>
    <t>1544.8.18</t>
  </si>
  <si>
    <t>明朝嘉靖二十三年</t>
  </si>
  <si>
    <t>甲辰年八月十八</t>
  </si>
  <si>
    <t>1614.1.28</t>
  </si>
  <si>
    <t>明朝万历四十二年</t>
  </si>
  <si>
    <t>甲寅年元月廿八</t>
  </si>
  <si>
    <t>ZA0006W01</t>
  </si>
  <si>
    <t>生嘉靖甲辰（1544年）八月十八日，殁万历甲寅（1584年）正月二十八日。配妻刘氏，生加靖甲辰（1544年）二月十四日，殁万历辛亥（1611年）四月初三日，同葬后山人形壬山丙向。子一：**通显**。</t>
  </si>
  <si>
    <t>ZA0007</t>
  </si>
  <si>
    <t>宜定</t>
  </si>
  <si>
    <t>ZA0007W01</t>
  </si>
  <si>
    <t>配妻唐氏，子三：**员珠**、**长珠**、**五珠**。</t>
  </si>
  <si>
    <t>ZA0008</t>
  </si>
  <si>
    <t>宜云</t>
  </si>
  <si>
    <t>ZA0009</t>
  </si>
  <si>
    <t>宜华</t>
  </si>
  <si>
    <t>ZA0010</t>
  </si>
  <si>
    <t>宜富</t>
  </si>
  <si>
    <t>柘田龟形</t>
  </si>
  <si>
    <t>1559.11.26</t>
  </si>
  <si>
    <t>明朝嘉靖三十八年</t>
  </si>
  <si>
    <t>己未年十一月廿六</t>
  </si>
  <si>
    <t>1621.12.11</t>
  </si>
  <si>
    <t>明朝天启元年</t>
  </si>
  <si>
    <t>辛酉年十二月十一</t>
  </si>
  <si>
    <t>ZA0010W01</t>
  </si>
  <si>
    <t>字贵瞻，徙居陈山高枧，生嘉靖己未（1559年）十一月二十六日，殁天启辛酉（1621年）十二月十一日。配妻刘氏，生嘉靖丁巳（1557年）九月十日，殁崇正己巳（1629年）七月二十九日，葬柘田龟形。子五：**力奉**、**力凰**、**力完**、**力全**、**力员**。</t>
  </si>
  <si>
    <t>ZA0011</t>
  </si>
  <si>
    <t>通显</t>
  </si>
  <si>
    <t>1573.7.20</t>
  </si>
  <si>
    <t>明朝万历元年</t>
  </si>
  <si>
    <t>癸酉年七月二十</t>
  </si>
  <si>
    <t>1631.2.14</t>
  </si>
  <si>
    <t>辛未年二月十四</t>
  </si>
  <si>
    <t>ZA0011W01</t>
  </si>
  <si>
    <t>戴氏</t>
  </si>
  <si>
    <t>生万历癸酉（1573年）七月二十日，殁崇正辛未（1631年）二月十四日。配妻戴氏生万历乙亥（1575年）五月初三日，殁崇正戊辰（1628年）九月二十九日，同葬后山人形。子五：**清湖**、**清海**、**清河**、**清潮**、**清池**。</t>
  </si>
  <si>
    <t>ZA0012</t>
  </si>
  <si>
    <t>员珠</t>
  </si>
  <si>
    <t>ZA0013</t>
  </si>
  <si>
    <t>长珠</t>
  </si>
  <si>
    <t>ZA0014</t>
  </si>
  <si>
    <t>五珠</t>
  </si>
  <si>
    <t>ZA0015</t>
  </si>
  <si>
    <t>力奉</t>
  </si>
  <si>
    <t>ZA0016</t>
  </si>
  <si>
    <t>力凰</t>
  </si>
  <si>
    <t>陈山旗形</t>
  </si>
  <si>
    <t>56</t>
  </si>
  <si>
    <t>1580.9.29</t>
  </si>
  <si>
    <t>明朝万历八年</t>
  </si>
  <si>
    <t>庚辰年九月廿九</t>
  </si>
  <si>
    <t>1636.6.14</t>
  </si>
  <si>
    <t>清朝崇德元年</t>
  </si>
  <si>
    <t>丙子年六月十四</t>
  </si>
  <si>
    <t>ZA0016W01</t>
  </si>
  <si>
    <t>字双池，生万历庚辰（1580年）九月二十九日，殁崇正丙子（1636年）六月十四日，葬陈山旗形。配妻彭氏，生万历癸未（1583年）三月十九日，殁天启乙丑（1625年）正月初五日，葬柘田围龟形。子二：**清淮**、**清江**。</t>
  </si>
  <si>
    <t>ZA0017</t>
  </si>
  <si>
    <t>力完</t>
  </si>
  <si>
    <t>ZA0017W01</t>
  </si>
  <si>
    <t>配杨氏，子二：**清源**、**清洋**。</t>
  </si>
  <si>
    <t>ZA0018</t>
  </si>
  <si>
    <t>力全</t>
  </si>
  <si>
    <t>ZA0018W01</t>
  </si>
  <si>
    <t>配妻胡氏。</t>
  </si>
  <si>
    <t>ZA0019</t>
  </si>
  <si>
    <t>力员</t>
  </si>
  <si>
    <t>ZA0020</t>
  </si>
  <si>
    <t>清湖</t>
  </si>
  <si>
    <t>1594.1.2</t>
  </si>
  <si>
    <t>明朝万历二十二年</t>
  </si>
  <si>
    <t>甲午年元月初二</t>
  </si>
  <si>
    <t>1633.4.19</t>
  </si>
  <si>
    <t>明朝崇祯六年</t>
  </si>
  <si>
    <t>癸酉年四月十九</t>
  </si>
  <si>
    <t>ZA0020W01</t>
  </si>
  <si>
    <t>生万历甲午（1594年）正月初二日，殁崇正癸酉（1633年）四月十九日。配妻肖氏，生万历己亥（1599年）十四日，殁顺治丁亥（1647年）五月十九日，同葬后山人形。子三：**念一**、**念二**、**袭克**。</t>
  </si>
  <si>
    <t>ZA0021</t>
  </si>
  <si>
    <t>清海</t>
  </si>
  <si>
    <t>1595.1.1</t>
  </si>
  <si>
    <t>明朝万历二十三年</t>
  </si>
  <si>
    <t>乙未年元月初一</t>
  </si>
  <si>
    <t>1644.1.1</t>
  </si>
  <si>
    <t>清朝顺治元年</t>
  </si>
  <si>
    <t>ZA0021W01</t>
  </si>
  <si>
    <t>生万历乙未（1595年），殁顺治甲申（1644年）。配妻戴氏，子一：**受天**。</t>
  </si>
  <si>
    <t>ZA0022</t>
  </si>
  <si>
    <t>清河</t>
  </si>
  <si>
    <t>1597.5.3</t>
  </si>
  <si>
    <t>明朝万历二十五年</t>
  </si>
  <si>
    <t>丁酉年五月初三</t>
  </si>
  <si>
    <t>1663.11.15</t>
  </si>
  <si>
    <t>癸卯年十一月十五</t>
  </si>
  <si>
    <t>ZA0022W01</t>
  </si>
  <si>
    <t>生万历丁酉（1597年）五月初三日，殁康熙癸卯（1663年）十一月十五日。配妻戴氏，生万历丙午（1606年）四月二十九日，殁康熙甲辰（1664年）十月初三日，同葬人形。子五：**明视**、**明听**、**明言**、**明事**、**明动**。</t>
  </si>
  <si>
    <t>ZA0023</t>
  </si>
  <si>
    <t>清潮</t>
  </si>
  <si>
    <t>1599.7.3</t>
  </si>
  <si>
    <t>明朝万历二十七年</t>
  </si>
  <si>
    <t>己亥年七月初三</t>
  </si>
  <si>
    <t>1666.3.19</t>
  </si>
  <si>
    <t>丙午年三月十九</t>
  </si>
  <si>
    <t>ZA0023W01</t>
  </si>
  <si>
    <t>生万历己亥（1599年）七月初三日，殁康熙丙午（1666年）三月十九日。配妻刘氏，生万历甲辰（1604年）八月十三日，殁康熙癸亥（1683年）二月十一日，同葬人形。子六：**念三**、**念四**、**念五**、**念六**、**念七**、**念八**。</t>
  </si>
  <si>
    <t>ZA0024</t>
  </si>
  <si>
    <t>清池</t>
  </si>
  <si>
    <t>1602.10.18</t>
  </si>
  <si>
    <t>壬寅年十月十八</t>
  </si>
  <si>
    <t>1655.4.29</t>
  </si>
  <si>
    <t>清朝顺治十二年</t>
  </si>
  <si>
    <t>乙未年四月廿九</t>
  </si>
  <si>
    <t>ZA0024W01</t>
  </si>
  <si>
    <t>生万历壬寅（1602年）十月十八日，殁崇正乙未（1643年）四月二十九日。配妻刘氏，生万历癸卯（1603年）二月二十九日，殁顺治丙戌（1646年）十月十三日，同葬人形。子二：**念源**、**念言**。（阳先注：崇祯年间没有“乙未”年，下一个“乙未”对应的是顺治十二年（1655年））</t>
  </si>
  <si>
    <t>ZA0025</t>
  </si>
  <si>
    <t>清淮</t>
  </si>
  <si>
    <t>1612.4.16</t>
  </si>
  <si>
    <t>明朝万历四十年</t>
  </si>
  <si>
    <t>壬子年四月十六</t>
  </si>
  <si>
    <t>1695.8.20</t>
  </si>
  <si>
    <t>乙亥年八月二十</t>
  </si>
  <si>
    <t>ZA0025W01</t>
  </si>
  <si>
    <t>穰氏</t>
  </si>
  <si>
    <t>生万历壬子（1612年）四月十六日，殁康熙乙亥（1695年）八月二十日。配妻穰氏，生万历戊午（1618年）正月十五日，殁于康熙丁巳（1677年）八月十五日，同葬后山人形。子一：**元靖**。</t>
  </si>
  <si>
    <t>ZA0026</t>
  </si>
  <si>
    <t>清江</t>
  </si>
  <si>
    <t>ZA0027</t>
  </si>
  <si>
    <t>清源</t>
  </si>
  <si>
    <t>ZA0028</t>
  </si>
  <si>
    <t>清洋</t>
  </si>
  <si>
    <t>ZA0028W01</t>
  </si>
  <si>
    <t>段氏</t>
  </si>
  <si>
    <t>配段氏。</t>
  </si>
  <si>
    <t>ZA0029</t>
  </si>
  <si>
    <t>念一</t>
  </si>
  <si>
    <t>1621.1.1</t>
  </si>
  <si>
    <t>1666.1.1</t>
  </si>
  <si>
    <t>丙午年元月初一</t>
  </si>
  <si>
    <t>ZA0029W01</t>
  </si>
  <si>
    <t>生天启辛酉（1621年），殁康熙丙午（1666年），葬人形，配妻戴氏。</t>
  </si>
  <si>
    <t>ZA0030</t>
  </si>
  <si>
    <t>念二</t>
  </si>
  <si>
    <t>字春台，商滇。</t>
  </si>
  <si>
    <t>ZA0031</t>
  </si>
  <si>
    <t>袭克</t>
  </si>
  <si>
    <t>1631.1.1</t>
  </si>
  <si>
    <t>1662.1.1</t>
  </si>
  <si>
    <t>清朝康熙元年</t>
  </si>
  <si>
    <t>ZA0031W01</t>
  </si>
  <si>
    <t>生崇正辛未（1631年），殁康熙壬寅（1662年）。配妻刘氏，生崇正甲戌（1634年）五月初八日，殁康熙甲子（1684年）九月二十一日，同葬人形。子一：**亁发**。</t>
  </si>
  <si>
    <t>ZA0032</t>
  </si>
  <si>
    <t>受天</t>
  </si>
  <si>
    <t>牛形</t>
  </si>
  <si>
    <t>ZA0032W01</t>
  </si>
  <si>
    <t>字绍禄，配妻李氏，同葬牛形。子二：**君益**、**日元**。</t>
  </si>
  <si>
    <t>ZA0033</t>
  </si>
  <si>
    <t>明视</t>
  </si>
  <si>
    <t>旗山犬形</t>
  </si>
  <si>
    <t>1636.1.1</t>
  </si>
  <si>
    <t>丙子年元月初一</t>
  </si>
  <si>
    <t>1675.3.24</t>
  </si>
  <si>
    <t>清朝康熙十四年</t>
  </si>
  <si>
    <t>乙卯年三月廿四</t>
  </si>
  <si>
    <t>ZA0033W01</t>
  </si>
  <si>
    <t>生崇正丙子（1636年）正月初一日，殁康熙乙卯（1675年）三月二十四日。配妻刘氏，生崇正己卯（1639年）八月二十四日，殁康熙辛丑（1721年）正月初六日，同葬旗山犬形。子二：**亁遇**、**亁逊**。</t>
  </si>
  <si>
    <t>ZA0034</t>
  </si>
  <si>
    <t>明听</t>
  </si>
  <si>
    <t>殁云南。</t>
  </si>
  <si>
    <t>ZA0035</t>
  </si>
  <si>
    <t>明言</t>
  </si>
  <si>
    <t>字金林卒商。</t>
  </si>
  <si>
    <t>ZA0036</t>
  </si>
  <si>
    <t>明事</t>
  </si>
  <si>
    <t>1665.5.14</t>
  </si>
  <si>
    <t>清朝康熙四年</t>
  </si>
  <si>
    <t>乙巳年五月十四</t>
  </si>
  <si>
    <t>1724.1.8</t>
  </si>
  <si>
    <t>甲辰年元月初八</t>
  </si>
  <si>
    <t>ZA0036W01</t>
  </si>
  <si>
    <t>徙居本邑本乡四十三都安陵地方，生顺治乙丑五月十四日，殁雍正甲辰（1724年）正月初八日。配妻廖氏，同葬后山人形。子二、**林保**、**徐保**。</t>
  </si>
  <si>
    <t>ZA0037</t>
  </si>
  <si>
    <t>明动</t>
  </si>
  <si>
    <t>1645.9.19</t>
  </si>
  <si>
    <t>清朝顺治二年</t>
  </si>
  <si>
    <t>乙酉年九月十九</t>
  </si>
  <si>
    <t>1705.1.1</t>
  </si>
  <si>
    <t>乙酉年元月初一</t>
  </si>
  <si>
    <t>ZA0037W01</t>
  </si>
  <si>
    <t>生顺治乙酉（1645年）九月十九日，殁康熙乙酉（1705年）。配妻刘氏，生顺治丙戌（1646年），殁康熙丁巳（1677年）。子二：**亁履**、**亁元**。</t>
  </si>
  <si>
    <t>ZA0038</t>
  </si>
  <si>
    <t>念三</t>
  </si>
  <si>
    <t>1623.10.5</t>
  </si>
  <si>
    <t>癸亥年十月初五</t>
  </si>
  <si>
    <t>1701.9.5</t>
  </si>
  <si>
    <t>辛巳年九月初五</t>
  </si>
  <si>
    <t>ZA0038W01</t>
  </si>
  <si>
    <t>生天启癸亥（1623年）十月初五日，殁康熙辛巳（1701年）九月初五日。配妻肖氏，生崇正戊辰（1628年）三月初八日，殁康熙甲辰（1664年）闰六月初七日，同葬人形。子一：**亁逵**。</t>
  </si>
  <si>
    <t>ZA0039</t>
  </si>
  <si>
    <t>念四</t>
  </si>
  <si>
    <t>1631.3.20</t>
  </si>
  <si>
    <t>辛未年三月二十</t>
  </si>
  <si>
    <t>1694.6.2</t>
  </si>
  <si>
    <t>甲戌年六月初二</t>
  </si>
  <si>
    <t>ZA0039W01</t>
  </si>
  <si>
    <t>生崇正辛未（1631年）三月二十日，殁康熙甲戌（1694年）六月初二日。配妻王氏，同葬人形。</t>
  </si>
  <si>
    <t>ZA0040</t>
  </si>
  <si>
    <t>念五</t>
  </si>
  <si>
    <t>ZA0040W01</t>
  </si>
  <si>
    <t>字赞宇，配刘氏，生崇正癸酉（1633年）十月二十一日，殁康熙癸酉（1693年）九月二十四日，同葬旗山犬形。子一：**亁珠**。</t>
  </si>
  <si>
    <t>ZA0041</t>
  </si>
  <si>
    <t>念六</t>
  </si>
  <si>
    <t>1634.1.27</t>
  </si>
  <si>
    <t>甲戌年元月廿七</t>
  </si>
  <si>
    <t>1710.1.29</t>
  </si>
  <si>
    <t>庚寅年元月廿九</t>
  </si>
  <si>
    <t>ZA0041W01</t>
  </si>
  <si>
    <t>生崇正甲戌（1634年）正月二十七日，殁康熙庚寅（1710年）正月二十九日。配妻刘氏，同葬人形。子一：**亁通**。</t>
  </si>
  <si>
    <t>ZA0042</t>
  </si>
  <si>
    <t>念七</t>
  </si>
  <si>
    <t>1636.12.13</t>
  </si>
  <si>
    <t>丙子年十二月十三</t>
  </si>
  <si>
    <t>1709.1.2</t>
  </si>
  <si>
    <t>己丑年元月初二</t>
  </si>
  <si>
    <t>ZA0042W01</t>
  </si>
  <si>
    <t>生崇正丙子（1636年）十二月十三日，殁康熙己丑（1709年）正月初二日。配妻黄氏，生顺治乙酉（1645年）四月二十五日，殁康熙丁丑（1697年）五月十六日。子二：**亁近**、**亁远**。</t>
  </si>
  <si>
    <t>ZA0043</t>
  </si>
  <si>
    <t>念八</t>
  </si>
  <si>
    <t>36</t>
  </si>
  <si>
    <t>1641.12.5</t>
  </si>
  <si>
    <t>清朝崇德六年</t>
  </si>
  <si>
    <t>辛巳年十二月初五</t>
  </si>
  <si>
    <t>1677.12.24</t>
  </si>
  <si>
    <t>丁巳年十二月廿四</t>
  </si>
  <si>
    <t>ZA0043W01</t>
  </si>
  <si>
    <t>生崇正辛巳（1641年）十二月初五日，殁康熙丁巳（1677年）十二月二十四日。配高氏，矢志守节郡邑志载，生顺治甲午六月初一，殁雍正乙卯（1735年）二月初五日，同葬犬形。子二：**亁运**、**回**。</t>
  </si>
  <si>
    <t>ZA0044</t>
  </si>
  <si>
    <t>念源</t>
  </si>
  <si>
    <t>1627.2.2</t>
  </si>
  <si>
    <t>丁卯年二月初二</t>
  </si>
  <si>
    <t>1711.10.1</t>
  </si>
  <si>
    <t>辛卯年十月初一</t>
  </si>
  <si>
    <t>ZA0044W01</t>
  </si>
  <si>
    <t>生天启丁卯（1627年）二月初二日，殁康熙辛卯（1711年）十月初一日。配妻彭氏，生崇祯丙子（1636年）十一月初八日，殁康熙戊子（1708年）六月初六日，同葬人形。子二：**亁壬**、**亁毅**。</t>
  </si>
  <si>
    <t>ZA0045</t>
  </si>
  <si>
    <t>念言</t>
  </si>
  <si>
    <t>1632.8.28</t>
  </si>
  <si>
    <t>壬申年八月廿八</t>
  </si>
  <si>
    <t>1702.9.5</t>
  </si>
  <si>
    <t>壬午年九月初五</t>
  </si>
  <si>
    <t>ZA0045W01</t>
  </si>
  <si>
    <t>生崇祯壬申（1632年）八月二十八日，殁康熙壬午（1702年）九月初五日。配妻彭氏，生崇祯祺丁丑（1637年）十月十八日，殁康熙庚辰（1700年）四月初六日。子一：**亁智**。</t>
  </si>
  <si>
    <t>ZA0046</t>
  </si>
  <si>
    <t>元靖</t>
  </si>
  <si>
    <t>陈山清潭虎形</t>
  </si>
  <si>
    <t>38</t>
  </si>
  <si>
    <t>1648.9.20</t>
  </si>
  <si>
    <t>戊子年九月二十</t>
  </si>
  <si>
    <t>1686.12.16</t>
  </si>
  <si>
    <t>丙寅年十二月十六</t>
  </si>
  <si>
    <t>ZA0046W01,ZA0046W02</t>
  </si>
  <si>
    <t>刘氏_x000D__x000D_
曾氏</t>
  </si>
  <si>
    <t>生顺治戊子（1648年）九月二十日，殁康熙丙寅（1686年）十二月十六日，葬陈山清潭虎形癸山丁向。配妻刘氏，生顺治己亥（1659年）五月十七日，殁康熙甲子（1684年）六月二十九日，葬于焦坑虎形，生子：**荣春**。继配曾氏，生顺治壬辰（1652年）八月十四日，殁雍正辛亥（1731年）九月二十一日，葬于屋后人形。子四：**春荣**、**夏华**、**秋富**、**冬贵**。</t>
  </si>
  <si>
    <t>ZA0047</t>
  </si>
  <si>
    <t>亁发</t>
  </si>
  <si>
    <t>1669.12.26</t>
  </si>
  <si>
    <t>己酉年十二月廿六</t>
  </si>
  <si>
    <t>1730.9.16</t>
  </si>
  <si>
    <t>庚戌年九月十六</t>
  </si>
  <si>
    <t>生康熙己酉（1669年）十二月二十六日，殁雍正庚戌（1730年）九月十六日。</t>
  </si>
  <si>
    <t>ZA0048</t>
  </si>
  <si>
    <t>君益</t>
  </si>
  <si>
    <t>花地前牛形石亥已向</t>
  </si>
  <si>
    <t>1664.3.4</t>
  </si>
  <si>
    <t>甲辰年三月初四</t>
  </si>
  <si>
    <t>1739.6.18</t>
  </si>
  <si>
    <t>己未年六月十八</t>
  </si>
  <si>
    <t>ZA0048W01</t>
  </si>
  <si>
    <t>生康熙甲辰（1664年）三月四日，殁乾隆己未（1739年）六月十八日。配贺氏，生康熙戊申（1668年）九月二十二日，殁雍正壬子（1732年）四月二十一日，葬于花地前牛形石亥已向。生二子：**固珠**、**国珠**。</t>
  </si>
  <si>
    <t>ZA0049</t>
  </si>
  <si>
    <t>日元</t>
  </si>
  <si>
    <t>ZA0050</t>
  </si>
  <si>
    <t>亁遇</t>
  </si>
  <si>
    <t>黄珑虎形</t>
  </si>
  <si>
    <t>1666.8.7</t>
  </si>
  <si>
    <t>丙午年八月初七</t>
  </si>
  <si>
    <t>1723.12.27</t>
  </si>
  <si>
    <t>癸卯年十二月廿七</t>
  </si>
  <si>
    <t>ZA0050W01</t>
  </si>
  <si>
    <t>生康熙丙午（1666年）八月七日，殁雍正癸卯（1732年）十二月二十七日，葬黄珑虎形。配肖氏，生康熙壬子（1672年）八月十五日，殁雍正甲辰（1742年）四月十八日，葬旗山犬形。生子：**振**。</t>
  </si>
  <si>
    <t>ZA0051</t>
  </si>
  <si>
    <t>亁逊</t>
  </si>
  <si>
    <t>1670.10.16</t>
  </si>
  <si>
    <t>清朝康熙九年</t>
  </si>
  <si>
    <t>庚戌年十月十六</t>
  </si>
  <si>
    <t>1736.12.23</t>
  </si>
  <si>
    <t>丙辰年十二月廿三</t>
  </si>
  <si>
    <t>ZA0051W01</t>
  </si>
  <si>
    <t>生（1670年）十月十六日，殁（1736年）十二月二十三日。配彭氏，生（1682年）七月二十日，殁（1742年）四月八日，同葬人形。生子：**宗望**、**黎望**。</t>
  </si>
  <si>
    <t>ZA0052</t>
  </si>
  <si>
    <t>林保</t>
  </si>
  <si>
    <t>ZA0053</t>
  </si>
  <si>
    <t>徐保</t>
  </si>
  <si>
    <t>ZA0054</t>
  </si>
  <si>
    <t>亁履</t>
  </si>
  <si>
    <t>1663.1.1</t>
  </si>
  <si>
    <t>生（1663年）。</t>
  </si>
  <si>
    <t>ZA0055</t>
  </si>
  <si>
    <t>亁元</t>
  </si>
  <si>
    <t>1685.1.1</t>
  </si>
  <si>
    <t>乙丑年元月初一</t>
  </si>
  <si>
    <t>1725.1.1</t>
  </si>
  <si>
    <t>乙巳年元月初一</t>
  </si>
  <si>
    <t>生（1685年），殁（1725年）。生子：**御贡**、**御彪**。</t>
  </si>
  <si>
    <t>ZA0056</t>
  </si>
  <si>
    <t>亁逵</t>
  </si>
  <si>
    <t>1661.2.8</t>
  </si>
  <si>
    <t>清朝顺治十八年</t>
  </si>
  <si>
    <t>辛丑年二月初八</t>
  </si>
  <si>
    <t>1681.6.24</t>
  </si>
  <si>
    <t>辛酉年六月廿四</t>
  </si>
  <si>
    <t>ZA0056W01</t>
  </si>
  <si>
    <t>生（1661年）二月八日，殁（1681年）六月二十四日。配彭氏，生（1664年）九月十三日，殁（1723年）七月二十八日，葬于旗山犬形。生子：**善镆**、**善剑**。</t>
  </si>
  <si>
    <t>ZA0057</t>
  </si>
  <si>
    <t>亁珠</t>
  </si>
  <si>
    <t>1667.4.16</t>
  </si>
  <si>
    <t>丁未年四月十六</t>
  </si>
  <si>
    <t>生（1667年）四月十六日，殁滇省。</t>
  </si>
  <si>
    <t>ZA0058</t>
  </si>
  <si>
    <t>亁通</t>
  </si>
  <si>
    <t>1658.11.13</t>
  </si>
  <si>
    <t>清朝顺治十五年</t>
  </si>
  <si>
    <t>戊戌年十一月十三</t>
  </si>
  <si>
    <t>1685.9.20</t>
  </si>
  <si>
    <t>乙丑年九月二十</t>
  </si>
  <si>
    <t>ZA0058W01</t>
  </si>
  <si>
    <t>生（1658年）十一月十三日，殁（1685年）九月二十日。配某氏，合葬犬形。生子：**三奇**。</t>
  </si>
  <si>
    <t>ZA0059</t>
  </si>
  <si>
    <t>亁近</t>
  </si>
  <si>
    <t>后山人形左</t>
  </si>
  <si>
    <t>1665.12.11</t>
  </si>
  <si>
    <t>乙巳年十二月十一</t>
  </si>
  <si>
    <t>1723.11.18</t>
  </si>
  <si>
    <t>癸卯年十一月十八</t>
  </si>
  <si>
    <t>ZA0059W01</t>
  </si>
  <si>
    <t>生（1665年）十二月十一日，殁（1723年）十一月十八日，葬于后山人形左。配刘氏，生（1673年）七月二十八日，殁（1753年）一月十六日，葬于院前铺毡形。生子：**善钟**、**善镀**。</t>
  </si>
  <si>
    <t>ZA0060</t>
  </si>
  <si>
    <t>亁远</t>
  </si>
  <si>
    <t>院前铺毡形</t>
  </si>
  <si>
    <t>1675.5.13</t>
  </si>
  <si>
    <t>乙卯年五月十三</t>
  </si>
  <si>
    <t>1740.8.7</t>
  </si>
  <si>
    <t>庚申年八月初七</t>
  </si>
  <si>
    <t>ZA0060W01</t>
  </si>
  <si>
    <t>生（1675年）闰五月十三日，殁（1740年）八月七日。配刘氏，生（1680年）八月二十三日，殁（1769年）十二月二十九日，葬于院前铺毡形。生子：**善铉**、**善钺**。</t>
  </si>
  <si>
    <t>ZA0061</t>
  </si>
  <si>
    <t>亁运</t>
  </si>
  <si>
    <t>1671.5.4</t>
  </si>
  <si>
    <t>辛亥年五月初四</t>
  </si>
  <si>
    <t>ZA0061W01</t>
  </si>
  <si>
    <t>生（1671年）五月四日，殁（1733年）。配某氏，生（1685年）三月十四日，殁（1736年）九月十七日。</t>
  </si>
  <si>
    <t>ZA0062</t>
  </si>
  <si>
    <t>回</t>
  </si>
  <si>
    <t>水南屋后蟹形坤</t>
  </si>
  <si>
    <t>85</t>
  </si>
  <si>
    <t>1674.3.29</t>
  </si>
  <si>
    <t>甲寅年三月廿九</t>
  </si>
  <si>
    <t>1759.11.30</t>
  </si>
  <si>
    <t>己卯年十一月三十</t>
  </si>
  <si>
    <t>ZA0062W01</t>
  </si>
  <si>
    <t>生（1674年）三月二十九日，殁（1759年）十一月三十日。配草塘朱氏，生（1686年）七月二十七日，殁（1770年）十月十三日，同葬水南屋后蟹形坤。生三子：**善锦**、**善任**、**善铨**。</t>
  </si>
  <si>
    <t>ZA0063</t>
  </si>
  <si>
    <t>亁壬</t>
  </si>
  <si>
    <t>1657.11.27</t>
  </si>
  <si>
    <t>丁酉年十一月廿七</t>
  </si>
  <si>
    <t>1690.11.16</t>
  </si>
  <si>
    <t>庚午年十一月十六</t>
  </si>
  <si>
    <t>ZA0063W01</t>
  </si>
  <si>
    <t>生（1657年）十一月二十七日，殁（1690年）十一月十六日，葬于陈山清潭虎形癸山丁向。配杨氏，生（1659年）七月十八日，殁（1691年）五月十一日，葬后山人形。生子：**善隆**、**善望**。</t>
  </si>
  <si>
    <t>ZA0064</t>
  </si>
  <si>
    <t>亁毅</t>
  </si>
  <si>
    <t>山背月</t>
  </si>
  <si>
    <t>1666.12.19</t>
  </si>
  <si>
    <t>丙午年十二月十九</t>
  </si>
  <si>
    <t>1710.4.28</t>
  </si>
  <si>
    <t>庚寅年四月廿八</t>
  </si>
  <si>
    <t>ZA0064W01</t>
  </si>
  <si>
    <t>生（1666年）十二月十九日，殁（1710年）四月二十八日，葬于山背月辛乙向。配周氏，生（1667年）十一月二十六日，殁（1743年）二月四日，葬于铺毡形。子一：**善镗**。</t>
  </si>
  <si>
    <t>ZA0065</t>
  </si>
  <si>
    <t>亁智</t>
  </si>
  <si>
    <t>1714.3.13</t>
  </si>
  <si>
    <t>甲午年三月十三</t>
  </si>
  <si>
    <t>ZA0065W01</t>
  </si>
  <si>
    <t>生（1667年），配刘氏，生（1614年）九月六日，殁（1714年）三月十三日，葬于旗山犬形。生子：**京蛰**。</t>
  </si>
  <si>
    <t>ZA0066</t>
  </si>
  <si>
    <t>春荣</t>
  </si>
  <si>
    <t>焦坑虎形己山亥间</t>
  </si>
  <si>
    <t>1727.5.4</t>
  </si>
  <si>
    <t>丁未年五月初四</t>
  </si>
  <si>
    <t>ZA0066W01,ZA0066W02</t>
  </si>
  <si>
    <t>刘氏_x000D_
曾氏</t>
  </si>
  <si>
    <t>生（1697年），殁（1727年）五月四日，葬于焦坑虎形己山亥间。配刘氏，生（1703年）一月二日。次配曾氏，生（1702年）三月九日，殁（1752年）六月二十九日。生六子：**善仁**、**善义**、**善礼**、**善智**、**善信**。</t>
  </si>
  <si>
    <t>ZA0067</t>
  </si>
  <si>
    <t>夏华</t>
  </si>
  <si>
    <t>陈山苦竹形</t>
  </si>
  <si>
    <t>1686.6.23</t>
  </si>
  <si>
    <t>丙寅年六月廿三</t>
  </si>
  <si>
    <t>1733.10.27</t>
  </si>
  <si>
    <t>癸丑年十月廿七</t>
  </si>
  <si>
    <t>ZA0067W01</t>
  </si>
  <si>
    <t>康氏</t>
  </si>
  <si>
    <t>生（1686年）六月二十三日，殁（1733年）十月二十七日，葬陈山苦竹形。配康氏，生（1696年）四月二十三日，殁（1727年）三月十四日，葬于长岑上。生子二：**福员**、**象员**。</t>
  </si>
  <si>
    <t>ZA0068</t>
  </si>
  <si>
    <t>秋富</t>
  </si>
  <si>
    <t>江南旗形坤山长向</t>
  </si>
  <si>
    <t>1690.12.7</t>
  </si>
  <si>
    <t>庚午年十二月初七</t>
  </si>
  <si>
    <t>1728.9.16</t>
  </si>
  <si>
    <t>戊申年九月十六</t>
  </si>
  <si>
    <t>ZA0068W01</t>
  </si>
  <si>
    <t>生（1690年）十二月七日，殁（1728年）九月十六日。配刘氏，生（1700年）九月十五日，殁（1740年），葬江南旗形坤山长向。子一：**垄员**。</t>
  </si>
  <si>
    <t>ZA0069</t>
  </si>
  <si>
    <t>冬贵</t>
  </si>
  <si>
    <t>1697.9.8</t>
  </si>
  <si>
    <t>丁丑年九月初八</t>
  </si>
  <si>
    <t>ZA0069W01</t>
  </si>
  <si>
    <t>生（1697年）九月八日，殁（1740年）。配刘氏，生子：**宏正**。</t>
  </si>
  <si>
    <t>ZA0070</t>
  </si>
  <si>
    <t>固珠</t>
  </si>
  <si>
    <t>狮虎头蛇形</t>
  </si>
  <si>
    <t>1691.5.12</t>
  </si>
  <si>
    <t>清朝康熙三十年</t>
  </si>
  <si>
    <t>辛未年五月十二</t>
  </si>
  <si>
    <t>1747.5.12</t>
  </si>
  <si>
    <t>丁卯年五月十二</t>
  </si>
  <si>
    <t>ZA0070W01</t>
  </si>
  <si>
    <t>生（1691年）五月十二日，殁（1747年）五月十二日，葬狮虎头蛇形。配杨氏，生（1700年）八月十日，殁（1766年）四月十一日，葬香炉山脚下。生子二：**结祥**、**侦祥**出继国珠。</t>
  </si>
  <si>
    <t>ZA0071</t>
  </si>
  <si>
    <t>国珠</t>
  </si>
  <si>
    <t>花地前牛形</t>
  </si>
  <si>
    <t>1767.7.9</t>
  </si>
  <si>
    <t>丁亥年七月初九</t>
  </si>
  <si>
    <t>ZA0071W01</t>
  </si>
  <si>
    <t>樊氏</t>
  </si>
  <si>
    <t>生（1709年），殁（1767年）七月九日，葬花地前牛形。配樊氏，生（1718年）五月十八日。子一：**祯祥**，固珠次子继立。（手写：官）</t>
  </si>
  <si>
    <t>ZA0072</t>
  </si>
  <si>
    <t>振</t>
  </si>
  <si>
    <t>（手写：早成室宜威洲。云南）</t>
  </si>
  <si>
    <t>ZA0073</t>
  </si>
  <si>
    <t>宗望</t>
  </si>
  <si>
    <t>（手写：成室宜威洲。云南）</t>
  </si>
  <si>
    <t>ZA0074</t>
  </si>
  <si>
    <t>黎望</t>
  </si>
  <si>
    <t>（手写：殁滇省。）</t>
  </si>
  <si>
    <t>ZA0075</t>
  </si>
  <si>
    <t>御贡</t>
  </si>
  <si>
    <t>（手写：官）</t>
  </si>
  <si>
    <t>ZA0076</t>
  </si>
  <si>
    <t>御彪</t>
  </si>
  <si>
    <t>（手写：住居云南宜威洲，子一：耀宗。）</t>
  </si>
  <si>
    <t>ZA0077</t>
  </si>
  <si>
    <t>善镆</t>
  </si>
  <si>
    <t>生（1691年），殁（1723年）。</t>
  </si>
  <si>
    <t>ZA0078</t>
  </si>
  <si>
    <t>善剑</t>
  </si>
  <si>
    <t>生（1695年），殁（1725年）。</t>
  </si>
  <si>
    <t>ZA0079</t>
  </si>
  <si>
    <t>三奇</t>
  </si>
  <si>
    <t>生（1687年），殁（1742年）。</t>
  </si>
  <si>
    <t>ZA0080</t>
  </si>
  <si>
    <t>善钟</t>
  </si>
  <si>
    <t>1706.12.13</t>
  </si>
  <si>
    <t>丙戌年十二月十三</t>
  </si>
  <si>
    <t>1749.3.16</t>
  </si>
  <si>
    <t>己巳年三月十六</t>
  </si>
  <si>
    <t>生（1706年）十二月十三日，殁（1749年）三月十六日，葬于香炉山。</t>
  </si>
  <si>
    <t>ZA0081</t>
  </si>
  <si>
    <t>善镀</t>
  </si>
  <si>
    <t>七七斗人形</t>
  </si>
  <si>
    <t>1711.12.9</t>
  </si>
  <si>
    <t>辛卯年十二月初九</t>
  </si>
  <si>
    <t>ZA0081W01</t>
  </si>
  <si>
    <t>生（1711年）十二月九日，殁滇省。配肖氏，生（1729年）七月七日，殁（1786年）一月六日，葬于七七斗人形。子一：**文焯**。</t>
  </si>
  <si>
    <t>ZA0082</t>
  </si>
  <si>
    <t>善铉</t>
  </si>
  <si>
    <t>车头屋后人形</t>
  </si>
  <si>
    <t>1698.11.1</t>
  </si>
  <si>
    <t>戊寅年十一月初一</t>
  </si>
  <si>
    <t>1750.10.30</t>
  </si>
  <si>
    <t>庚午年十月三十</t>
  </si>
  <si>
    <t>ZA0082W01</t>
  </si>
  <si>
    <t>生（1698年）十一月一日，殁（1750年）十月三十日，_x000D_
葬车头屋后人形。配刘氏，生（1702年）八月十三日。子四：文煓、文焕、文烶、文煌。</t>
  </si>
  <si>
    <t>ZA0083</t>
  </si>
  <si>
    <t>善钺</t>
  </si>
  <si>
    <t>1700.1.15</t>
  </si>
  <si>
    <t>清朝康熙三十九年</t>
  </si>
  <si>
    <t>庚辰年元月十五</t>
  </si>
  <si>
    <t>1744.2.17</t>
  </si>
  <si>
    <t>甲子年二月十七</t>
  </si>
  <si>
    <t>ZA0083W01</t>
  </si>
  <si>
    <t>生康熙庚子正月十五日，殁乾隆甲申年二月十七日。配刘氏，生雍正辛亥八月二十日，殁乾隆乙巳年三月。子一：文烛。</t>
  </si>
  <si>
    <t>ZA0084</t>
  </si>
  <si>
    <t>善锦</t>
  </si>
  <si>
    <t>1774.7.21</t>
  </si>
  <si>
    <t>甲午年七月廿一</t>
  </si>
  <si>
    <t>ZA0084W01</t>
  </si>
  <si>
    <t>生康熙戊子年十二月二十四日，殁乾隆甲午七月二十一日。配王氏，生康熙己丑年八月十九日，殁戊辰六月初七，同葬水南屋后蟹形坤。子二：文燧、文秀。</t>
  </si>
  <si>
    <t>ZA0085</t>
  </si>
  <si>
    <t>善任</t>
  </si>
  <si>
    <t>水南屋后蟹形上牌</t>
  </si>
  <si>
    <t>1713.1.1</t>
  </si>
  <si>
    <t>癸巳年元月初一</t>
  </si>
  <si>
    <t>1791.11.6</t>
  </si>
  <si>
    <t>辛亥年十一月初六</t>
  </si>
  <si>
    <t>ZA0085W01</t>
  </si>
  <si>
    <t>生（1713年）正月初一，殁（1791年）十一月初六日。配肖氏，生（1727年）五月十二日，殁（1785年）六月十八日，合葬水南屋后蟹形上牌坤艮向。子三：文斗、文开、文翰。</t>
  </si>
  <si>
    <t>ZA0086</t>
  </si>
  <si>
    <t>善铨</t>
  </si>
  <si>
    <t>水南屋蟹形</t>
  </si>
  <si>
    <t>1714.11.1</t>
  </si>
  <si>
    <t>甲午年十一月初一</t>
  </si>
  <si>
    <t>1754.12.2</t>
  </si>
  <si>
    <t>甲戌年十二月初二</t>
  </si>
  <si>
    <t>ZA0086W01</t>
  </si>
  <si>
    <t>生（1714年）十一月初一日，殁（1754年）十二月初二日。配妻肖氏，生（1735年）十一月十三日，殁（1757年）六月二十六日，同葬水南屋蟹形坤山艮向。</t>
  </si>
  <si>
    <t>ZA0087</t>
  </si>
  <si>
    <t>善隆</t>
  </si>
  <si>
    <t>水草垅形</t>
  </si>
  <si>
    <t>1676.9.28</t>
  </si>
  <si>
    <t>丙辰年九月廿八</t>
  </si>
  <si>
    <t>ZA0087W01</t>
  </si>
  <si>
    <t>生（1676年）九月二十八日，配妻朱氏，生（1676年）十一月初九日，殁（1752年）五月，同葬水草垅形。子四：文炽、文煜、文燿、文辉。</t>
  </si>
  <si>
    <t>ZA0088</t>
  </si>
  <si>
    <t>善望</t>
  </si>
  <si>
    <t>1687.2.5</t>
  </si>
  <si>
    <t>丁卯年二月初五</t>
  </si>
  <si>
    <t>1733.2.21</t>
  </si>
  <si>
    <t>癸丑年二月廿一</t>
  </si>
  <si>
    <t>ZA0088W01</t>
  </si>
  <si>
    <t>生（1687年）二月初五日，殁（1673年）二月二十一日。配妻刘氏，生（1690年）九月十五日。子三：文炳、文灿、文烜。（阳先注：原文生卒年错位，调整殃时为同为癸丑年的1733年）</t>
  </si>
  <si>
    <t>ZA0089</t>
  </si>
  <si>
    <t>善镗</t>
  </si>
  <si>
    <t>1686.5.16</t>
  </si>
  <si>
    <t>丙寅年五月十六</t>
  </si>
  <si>
    <t>1734.1.4</t>
  </si>
  <si>
    <t>甲寅年元月初四</t>
  </si>
  <si>
    <t>ZA0089W01</t>
  </si>
  <si>
    <t>生（1686年）五月十六日，殁（1734年）正月初四日，葬院前铺毡形。配妻彭氏，生（1700年）五月初一日，殁（1740年）闰六月初九日，葬山背月形辛山乙向。子二：文炤、文煟。</t>
  </si>
  <si>
    <t>ZA0090</t>
  </si>
  <si>
    <t>善仁</t>
  </si>
  <si>
    <t>谷瑕虎形</t>
  </si>
  <si>
    <t>1667.1.2</t>
  </si>
  <si>
    <t>丁未年元月初二</t>
  </si>
  <si>
    <t>1739.11.4</t>
  </si>
  <si>
    <t>己未年十一月初四</t>
  </si>
  <si>
    <t>ZA0090W01</t>
  </si>
  <si>
    <t>生（1667年）正月初二日，殁（1739年）十一月初四日，葬谷瑕虎形。配妻曾氏，生（1706年）三月初九日，殁（1752年）十月初六日，葬焦坑虎形巳山亥向。子一：文行。</t>
  </si>
  <si>
    <t>ZA0091</t>
  </si>
  <si>
    <t>善义</t>
  </si>
  <si>
    <t>古竹岑铜锣坪</t>
  </si>
  <si>
    <t>1711.8.13</t>
  </si>
  <si>
    <t>辛卯年八月十三</t>
  </si>
  <si>
    <t>1789.5.10</t>
  </si>
  <si>
    <t>己酉年五月初十</t>
  </si>
  <si>
    <t>ZA0091W01</t>
  </si>
  <si>
    <t>生（1711年）八月十三日，殁（1789年）五月初十日，葬古竹岑铜锣坪。配妻刘氏，生（1717年）三月初二日，殁（1750年）五月十四日，葬毅瑕虎形。子一：文绍。</t>
  </si>
  <si>
    <t>ZA0092</t>
  </si>
  <si>
    <t>善礼</t>
  </si>
  <si>
    <t>1716.6.7</t>
  </si>
  <si>
    <t>丙申年六月初七</t>
  </si>
  <si>
    <t>1779.10.30</t>
  </si>
  <si>
    <t>己亥年十月三十</t>
  </si>
  <si>
    <t>ZA0092W01</t>
  </si>
  <si>
    <t>生（1716年）六月初七日，殁（1779年）十月三十日，葬谷瑕虎形。配妻刘氏，生（1725年）正月十二日，殁（1780年）五月十四日，葬屋后旗形。子三：文鸿、文光、文逑。</t>
  </si>
  <si>
    <t>ZA0093</t>
  </si>
  <si>
    <t>善智</t>
  </si>
  <si>
    <t>1719.9.14</t>
  </si>
  <si>
    <t>己亥年九月十四</t>
  </si>
  <si>
    <t>1787.9.20</t>
  </si>
  <si>
    <t>丁未年九月二十</t>
  </si>
  <si>
    <t>ZA0093W01</t>
  </si>
  <si>
    <t>寗氏</t>
  </si>
  <si>
    <t>生（1719年）九月十四日，殁（1787年）九月二十日，葬于谷瑕虎形。配寗氏，生（1735年）正月，殁（1778年）八月初六日，葬谷瑕虎形。子二：文耀、文逵。</t>
  </si>
  <si>
    <t>ZA0094</t>
  </si>
  <si>
    <t>善信</t>
  </si>
  <si>
    <t>毅瑕虎形</t>
  </si>
  <si>
    <t>1723.2.27</t>
  </si>
  <si>
    <t>癸卯年二月廿七</t>
  </si>
  <si>
    <t>1776.4.17</t>
  </si>
  <si>
    <t>丙申年四月十七</t>
  </si>
  <si>
    <t>ZA0094W01，ZA0094W02</t>
  </si>
  <si>
    <t>肖氏周氏</t>
  </si>
  <si>
    <t>生（1723年）二月十七日，殁（1776年）四月十七日，葬毅瑕虎形。配妻肖氏，续娶周氏，生（1738年）二月二十三日。子二：文进、文迪。</t>
  </si>
  <si>
    <t>ZA0095</t>
  </si>
  <si>
    <t>福员</t>
  </si>
  <si>
    <t>屋后旗形</t>
  </si>
  <si>
    <t>1713.8.29</t>
  </si>
  <si>
    <t>癸巳年八月廿九</t>
  </si>
  <si>
    <t>1781.8.27</t>
  </si>
  <si>
    <t>辛丑年八月廿七</t>
  </si>
  <si>
    <t>生（1713年）八月二十九日，殁（1781年）八月二十七日，葬屋后旗形。</t>
  </si>
  <si>
    <t>ZA0096</t>
  </si>
  <si>
    <t>象员</t>
  </si>
  <si>
    <t>1664.4.16</t>
  </si>
  <si>
    <t>甲辰年四月十六</t>
  </si>
  <si>
    <t>1733.12.20</t>
  </si>
  <si>
    <t>癸丑年十二月二十</t>
  </si>
  <si>
    <t>生（1664年）四月十六日，殁（1733年）十二月二十日，葬屋后旗形。子一：文远。</t>
  </si>
  <si>
    <t>ZA0097</t>
  </si>
  <si>
    <t>垄员</t>
  </si>
  <si>
    <t>1664.8.14</t>
  </si>
  <si>
    <t>甲辰年八月十四</t>
  </si>
  <si>
    <t>1740.11.1</t>
  </si>
  <si>
    <t>庚申年十一月初一</t>
  </si>
  <si>
    <t>ZA0097W01</t>
  </si>
  <si>
    <t>何氏</t>
  </si>
  <si>
    <t>生（1664年）八月十四日，配妻何氏，生（1740年）11月初一日。子一：文遥。</t>
  </si>
  <si>
    <t>ZA0098</t>
  </si>
  <si>
    <t>宏正</t>
  </si>
  <si>
    <t>1672.3.29</t>
  </si>
  <si>
    <t>壬子年三月廿九</t>
  </si>
  <si>
    <t>1698.5.22</t>
  </si>
  <si>
    <t>戊寅年五月廿二</t>
  </si>
  <si>
    <t>生（1672年）三月二十九日，殁（1798年）五月二十二日，葬屋后旗形。（阳先注：卒年错误，更正为1698年）</t>
  </si>
  <si>
    <t>ZA0099</t>
  </si>
  <si>
    <t>结祥</t>
  </si>
  <si>
    <t>ZA0100</t>
  </si>
  <si>
    <t>侦祥</t>
  </si>
  <si>
    <t>ZA0101</t>
  </si>
  <si>
    <t>耀宗</t>
  </si>
  <si>
    <t>ZA0102</t>
  </si>
  <si>
    <t>文焯</t>
  </si>
  <si>
    <t>1769.11.20</t>
  </si>
  <si>
    <t>清朝乾隆三十四年</t>
  </si>
  <si>
    <t>己丑年十一月二十</t>
  </si>
  <si>
    <t>ZA0102W01</t>
  </si>
  <si>
    <t>字绍先，生乾隆己丑（1769年）十一月二十日。配彭氏，生乾隆己巳（1785年）三月初三日。子二：裕瑚、裕珏。</t>
  </si>
  <si>
    <t>ZA0103</t>
  </si>
  <si>
    <t>文煓</t>
  </si>
  <si>
    <t>1722.4.1</t>
  </si>
  <si>
    <t>壬寅年四月初一</t>
  </si>
  <si>
    <t>1760.2.29</t>
  </si>
  <si>
    <t>庚辰年二月廿九</t>
  </si>
  <si>
    <t>ZA0103W01</t>
  </si>
  <si>
    <t>字志宽生，生康熙壬寅（1662年）四月一日，殁于乾隆庚辰（1760年）二月二十九日，葬车头屋后人形坤山。配刘氏，生雍正庚戌（1730年）三月七日，殁癸亥年八月十三日，葬香炉山。子二：裕琦、裕璋。</t>
  </si>
  <si>
    <t>ZA0104</t>
  </si>
  <si>
    <t>文焕</t>
  </si>
  <si>
    <t>1730.8.15</t>
  </si>
  <si>
    <t>庚戌年八月十五</t>
  </si>
  <si>
    <t>ZA0104W01</t>
  </si>
  <si>
    <t>字声华，生雍正八月十五，殁云南。娶刘氏，生乾隆庚申（1740年）九月七日，殁于1809年三月二十五日，葬香炉山。</t>
  </si>
  <si>
    <t>ZA0105</t>
  </si>
  <si>
    <t>文烶</t>
  </si>
  <si>
    <t>字志恹。</t>
  </si>
  <si>
    <t>ZA0106</t>
  </si>
  <si>
    <t>文煌</t>
  </si>
  <si>
    <t>字美生。</t>
  </si>
  <si>
    <t>ZA0107</t>
  </si>
  <si>
    <t>文烛</t>
  </si>
  <si>
    <t>1752.5.4</t>
  </si>
  <si>
    <t>壬申年五月初四</t>
  </si>
  <si>
    <t>1788.3.23</t>
  </si>
  <si>
    <t>戊申年三月廿三</t>
  </si>
  <si>
    <t>ZA0107W01</t>
  </si>
  <si>
    <t>字茂华，生乾隆壬申（1752年）五月四日。娶王氏，生乾隆辛巳（1761年）十一月十一日，殁乾隆戊申（1788年）三月二十三日。继取贵州三板桥氏，子二：裕瑞、裕琢。（阳先注：此处记录不详，按谱系应有五子，其他三子是裕珠、裕怀、裕宗。）</t>
  </si>
  <si>
    <t>ZA0108</t>
  </si>
  <si>
    <t>文燧</t>
  </si>
  <si>
    <t>ZA0109</t>
  </si>
  <si>
    <t>文秀</t>
  </si>
  <si>
    <t>水南屋后蟹形下牌艮向</t>
  </si>
  <si>
    <t>1737.1.13</t>
  </si>
  <si>
    <t>丁巳年元月十三</t>
  </si>
  <si>
    <t>1805.4.24</t>
  </si>
  <si>
    <t>乙丑年四月廿四</t>
  </si>
  <si>
    <t>ZA0109W01</t>
  </si>
  <si>
    <t>ZA0110</t>
  </si>
  <si>
    <t>文斗</t>
  </si>
  <si>
    <t>1751.1.23</t>
  </si>
  <si>
    <t>辛未年元月廿三</t>
  </si>
  <si>
    <t>1805.8.8</t>
  </si>
  <si>
    <t>乙丑年八月初八</t>
  </si>
  <si>
    <t>ZA0110W01</t>
  </si>
  <si>
    <t>ZA0111</t>
  </si>
  <si>
    <t>文开</t>
  </si>
  <si>
    <t>水南蟹形</t>
  </si>
  <si>
    <t>1788.12.25</t>
  </si>
  <si>
    <t>戊申年十二月廿五</t>
  </si>
  <si>
    <t>ZA0111W01</t>
  </si>
  <si>
    <t>字填轩、业儒，慷慨好义，生乾隆戊申（1758年）十二月二十五日。配刘氏，生乾隆己卯（1759年）六月二十二日，殁嘉庆戊辰（1848年）八月十四日，葬水南蟹形坤艮向。子四：裕瑸、裕球、裕琏、裕珀。</t>
  </si>
  <si>
    <t>ZA0112</t>
  </si>
  <si>
    <t>文翰</t>
  </si>
  <si>
    <t>水南山脚垴</t>
  </si>
  <si>
    <t>1761.8.22</t>
  </si>
  <si>
    <t>辛巳年八月廿二</t>
  </si>
  <si>
    <t>ZA0112W01，ZA0112W02</t>
  </si>
  <si>
    <t>肖氏_x000D_
彭氏</t>
  </si>
  <si>
    <t>字伟高、号屏之、业儒屡试未售，生乾隆辛巳（1761年）八月二十二日。配肖氏，生乾隆丁亥（1767年）三月十八日，殁乾隆甲辰（1784年）九月十二日，葬水南山脚垴。续配彭氏，生乾隆癸巳（1773年）九月九日。子一：裕瑨。</t>
  </si>
  <si>
    <t>ZA0113</t>
  </si>
  <si>
    <t>文炽</t>
  </si>
  <si>
    <t>1697.5.8</t>
  </si>
  <si>
    <t>丁丑年五月初八</t>
  </si>
  <si>
    <t>滇省</t>
  </si>
  <si>
    <t>ZA0113W01</t>
  </si>
  <si>
    <t>字访泰，生康熙丁丑（1697年）五月八日，殁滇省，配刘氏，生康熙壬午（1702年）三月二十四日。子一：裕瑮。</t>
  </si>
  <si>
    <t>ZA0114</t>
  </si>
  <si>
    <t>文煜</t>
  </si>
  <si>
    <t>字碗容，殁滇省。</t>
  </si>
  <si>
    <t>ZA0115</t>
  </si>
  <si>
    <t>文燿</t>
  </si>
  <si>
    <t>ZA0116</t>
  </si>
  <si>
    <t>文辉</t>
  </si>
  <si>
    <t>1712.7.12</t>
  </si>
  <si>
    <t>壬辰年七月十二</t>
  </si>
  <si>
    <t>ZA0116W01</t>
  </si>
  <si>
    <t>字彦斋，生康熙壬辰（1712年）七月十二日，殁云南。配刘氏，生康熙甲午（1714年），殁于（1737年）。</t>
  </si>
  <si>
    <t>ZA0117</t>
  </si>
  <si>
    <t>文炳</t>
  </si>
  <si>
    <t>1710.11.12</t>
  </si>
  <si>
    <t>庚寅年十一月十二</t>
  </si>
  <si>
    <t>1729.1.1</t>
  </si>
  <si>
    <t>字盛可，生康熙庚寅（1710年）十一月十二日，殁雍正己酉（1729年）。</t>
  </si>
  <si>
    <t>ZA0118</t>
  </si>
  <si>
    <t>文灿</t>
  </si>
  <si>
    <t>1719.8.19</t>
  </si>
  <si>
    <t>己亥年八月十九</t>
  </si>
  <si>
    <t>ZA0118W01</t>
  </si>
  <si>
    <t>字照廷，生康熙己亥（1719年）八月十九日，殁云南。配肖氏，生雍正壬子（1732年）十月初八日，殁乾隆。子一：裕琨。</t>
  </si>
  <si>
    <t>ZA0119</t>
  </si>
  <si>
    <t>文烜</t>
  </si>
  <si>
    <t>1727.2.4</t>
  </si>
  <si>
    <t>丁未年二月初四</t>
  </si>
  <si>
    <t>ZA0119W01</t>
  </si>
  <si>
    <t>字开元，生雍正丁未（1727年）二月四日，殁云南。配肖氏，生雍正丁未（1727年）二月四日，殁云南。</t>
  </si>
  <si>
    <t>ZA0120</t>
  </si>
  <si>
    <t>文炤</t>
  </si>
  <si>
    <t>1721.8.26</t>
  </si>
  <si>
    <t>清朝康熙六十年</t>
  </si>
  <si>
    <t>辛丑年八月廿六</t>
  </si>
  <si>
    <t>ZA0120W01</t>
  </si>
  <si>
    <t>字诏颁，生康熙辛丑（1721年）八月二十六日，殁云南。配彭氏，生雍正己酉（1729年）六月一日，殁嘉庆己未（1799年）十一月十二日，葬香炉山。子一：裕昌。</t>
  </si>
  <si>
    <t>ZA0121</t>
  </si>
  <si>
    <t>文煟</t>
  </si>
  <si>
    <t>1734.12.15</t>
  </si>
  <si>
    <t>甲寅年十二月十五</t>
  </si>
  <si>
    <t>字位颁，生雍正甲寅（1734年）十二月十五日，贵州省住居。子一：裕升。</t>
  </si>
  <si>
    <t>ZA0122</t>
  </si>
  <si>
    <t>文行</t>
  </si>
  <si>
    <t>1726.12.6</t>
  </si>
  <si>
    <t>丙午年十二月初六</t>
  </si>
  <si>
    <t>1788.2.24</t>
  </si>
  <si>
    <t>戊申年二月廿四</t>
  </si>
  <si>
    <t>ZA0122W01</t>
  </si>
  <si>
    <t>字庆馀，生雍正丙午（1726年）十二月六日，殁乾隆戊申（1748年）二月二十四日。配谭氏，生乾隆庚申（1740年）四月九日，殁乾隆乙卯（1795年）四月九日，同葬屋后旗形。子一：兆宗。</t>
  </si>
  <si>
    <t>ZA0123</t>
  </si>
  <si>
    <t>文绍</t>
  </si>
  <si>
    <t>1735.12.2</t>
  </si>
  <si>
    <t>1794.6.26</t>
  </si>
  <si>
    <t>甲寅年六月廿六</t>
  </si>
  <si>
    <t>ZA0123W01，ZA0123W02</t>
  </si>
  <si>
    <t>欧阳氏_x000D_
朱氏</t>
  </si>
  <si>
    <t>字馀传，生雍正乙卯（1735年）十二月二日，殁乾隆甲寅（1794年）六月二十六日，葬屋后旗形。配欧阳氏，生乾隆甲子（1744年）八月五日，葬旗形。继配朱氏，生乾隆庚辰（1760年）九月十二日。子三：荣宗、学宗、追宗。</t>
  </si>
  <si>
    <t>ZA0124</t>
  </si>
  <si>
    <t>文鸿</t>
  </si>
  <si>
    <t>本垅破过源龟形上牌右</t>
  </si>
  <si>
    <t>1752.6.7</t>
  </si>
  <si>
    <t>壬申年六月初七</t>
  </si>
  <si>
    <t>ZA0124W01</t>
  </si>
  <si>
    <t>字昌廷、业儒，生乾隆壬申（1752年）六月七日。配刘氏，生乾隆丙子（1756年）十月十八日，殁嘉庆壬戌（1742年）九月二十二日，葬本垅破过源龟形上牌右。子一：绵宗。</t>
  </si>
  <si>
    <t>ZA0125</t>
  </si>
  <si>
    <t>文光</t>
  </si>
  <si>
    <t>1759.12.4</t>
  </si>
  <si>
    <t>己卯年十二月初四</t>
  </si>
  <si>
    <t>字跻廷，生乾隆己卯（1759年）十二月四日。</t>
  </si>
  <si>
    <t>ZA0126</t>
  </si>
  <si>
    <t>文逑</t>
  </si>
  <si>
    <t>破过源龟形</t>
  </si>
  <si>
    <t>1765.10.15</t>
  </si>
  <si>
    <t>乙酉年十月十五</t>
  </si>
  <si>
    <t>1809.10.13</t>
  </si>
  <si>
    <t>己巳年十月十三</t>
  </si>
  <si>
    <t>ZA0126W01</t>
  </si>
  <si>
    <t>字奏廷，生乾隆乙酉（1765年）十月十五日，殁嘉庆己巳（1765年）十月十三日，葬破过源龟形。配王氏，生乾隆庚子（1780年）十二月二十四日。子一：立宗。</t>
  </si>
  <si>
    <t>ZA0127</t>
  </si>
  <si>
    <t>文耀</t>
  </si>
  <si>
    <t>屋背旗形</t>
  </si>
  <si>
    <t>1755.10.20</t>
  </si>
  <si>
    <t>乙亥年十月二十</t>
  </si>
  <si>
    <t>1804.5.7</t>
  </si>
  <si>
    <t>甲子年五月初七</t>
  </si>
  <si>
    <t>字辉廷，生乾隆乙亥（1755年）十月二十日，殁嘉庆甲子（1804年）五月七日，葬屋背旗形。</t>
  </si>
  <si>
    <t>ZA0128</t>
  </si>
  <si>
    <t>文逵</t>
  </si>
  <si>
    <t>1758.10.6</t>
  </si>
  <si>
    <t>戊寅年十月初六</t>
  </si>
  <si>
    <t>字彩廷，生乾隆戊寅（1758年）十月六日。</t>
  </si>
  <si>
    <t>ZA0129</t>
  </si>
  <si>
    <t>文进</t>
  </si>
  <si>
    <t>1763.4.2</t>
  </si>
  <si>
    <t>癸未年四月初二</t>
  </si>
  <si>
    <t>ZA0129W01</t>
  </si>
  <si>
    <t>字壬廷，生乾隆癸未（1763年）四月二日，娶曾氏，生乾隆庚寅（1770年）九月二十二日。子二：报宗、德宗。</t>
  </si>
  <si>
    <t>ZA0130</t>
  </si>
  <si>
    <t>文迪</t>
  </si>
  <si>
    <t>1767.6.25</t>
  </si>
  <si>
    <t>丁亥年六月廿五</t>
  </si>
  <si>
    <t>ZA0130W01</t>
  </si>
  <si>
    <t>字席廷，生乾隆丁亥（1767年）六月二十五日，娶刘氏，生乾隆壬寅（1782年）十一月二十日。子三：顺宗、畅宗、周宗。</t>
  </si>
  <si>
    <t>ZA0131</t>
  </si>
  <si>
    <t>文远</t>
  </si>
  <si>
    <t>1781.11.25</t>
  </si>
  <si>
    <t>辛丑年十一月廿五</t>
  </si>
  <si>
    <t>字晓廷，生乾隆辛丑（1781年）十一月二十五日。</t>
  </si>
  <si>
    <t>ZA0132</t>
  </si>
  <si>
    <t>文遥</t>
  </si>
  <si>
    <t>1775.12.8</t>
  </si>
  <si>
    <t>乙未年十二月初八</t>
  </si>
  <si>
    <t>字任廷，生乾隆乙未（1775年）十二月八日。</t>
  </si>
  <si>
    <t>ZA0133</t>
  </si>
  <si>
    <t>裕瑚</t>
  </si>
  <si>
    <t>1802.2.10</t>
  </si>
  <si>
    <t>壬戌年二月初十</t>
  </si>
  <si>
    <t>生嘉庆壬戌（1802年）二月初十日。</t>
  </si>
  <si>
    <t>ZA0134</t>
  </si>
  <si>
    <t>裕珏</t>
  </si>
  <si>
    <t>1803.8.21</t>
  </si>
  <si>
    <t>癸亥年八月廿一</t>
  </si>
  <si>
    <t>生嘉庆癸亥（1803年）八月二十一日。</t>
  </si>
  <si>
    <t>ZA0135</t>
  </si>
  <si>
    <t>裕琦</t>
  </si>
  <si>
    <t>车头屋后北斗形</t>
  </si>
  <si>
    <t>1752.9.22</t>
  </si>
  <si>
    <t>壬申年九月廿二</t>
  </si>
  <si>
    <t>1783.4.20</t>
  </si>
  <si>
    <t>癸卯年四月二十</t>
  </si>
  <si>
    <t>ZA0135W01</t>
  </si>
  <si>
    <t>生乾隆壬申（1752年）九月二十二日，殁乾隆癸卯（1783年）四月二十日，葬车头屋后北斗形。配妻刘氏，生乾隆辛巳（1761年）十一月二日。子一：泰亨。</t>
  </si>
  <si>
    <t>ZA0136</t>
  </si>
  <si>
    <t>裕璋</t>
  </si>
  <si>
    <t>1755.1.1</t>
  </si>
  <si>
    <t>生乾隆乙亥，成室西域殁。子二：泰和、泰绅。</t>
  </si>
  <si>
    <t>ZA0137</t>
  </si>
  <si>
    <t>裕瑞</t>
  </si>
  <si>
    <t>字有祥。</t>
  </si>
  <si>
    <t>ZA0138</t>
  </si>
  <si>
    <t>裕琢</t>
  </si>
  <si>
    <t>字益祥，又名文钦。生子二：泰綍、泰绎。</t>
  </si>
  <si>
    <t>ZA0139</t>
  </si>
  <si>
    <t>裕珠</t>
  </si>
  <si>
    <t>生子一：泰绍。</t>
  </si>
  <si>
    <t>ZA0140</t>
  </si>
  <si>
    <t>裕怀</t>
  </si>
  <si>
    <t>子二：泰绵、泰縙。</t>
  </si>
  <si>
    <t>ZA0141</t>
  </si>
  <si>
    <t>裕宗</t>
  </si>
  <si>
    <t>ZA0142</t>
  </si>
  <si>
    <t>裕琳</t>
  </si>
  <si>
    <t>1765.1.1</t>
  </si>
  <si>
    <t>ZA0142W01</t>
  </si>
  <si>
    <t>生乾隆乙酉（1765年），闰二月初一日，配妻彭氏，生乾隆丙戌（1766年）十月初三日。子一：家驹。</t>
  </si>
  <si>
    <t>ZA0143</t>
  </si>
  <si>
    <t>裕瑾</t>
  </si>
  <si>
    <t>1775.6.2</t>
  </si>
  <si>
    <t>乙未年六月初二</t>
  </si>
  <si>
    <t>生乾隆乙未（1775年）六月初二日。</t>
  </si>
  <si>
    <t>ZA0144</t>
  </si>
  <si>
    <t>裕珅</t>
  </si>
  <si>
    <t>1779.1.13</t>
  </si>
  <si>
    <t>己亥年元月十三</t>
  </si>
  <si>
    <t>生乾隆己亥（1779年）正月十三日。子一：楚怀。</t>
  </si>
  <si>
    <t>ZA0145</t>
  </si>
  <si>
    <t>裕瑄</t>
  </si>
  <si>
    <t>1783.5.26</t>
  </si>
  <si>
    <t>癸卯年五月廿六</t>
  </si>
  <si>
    <t>生乾隆癸卯（1783年）五月二十六日。</t>
  </si>
  <si>
    <t>ZA0146</t>
  </si>
  <si>
    <t>裕珍</t>
  </si>
  <si>
    <t>1774.2.18</t>
  </si>
  <si>
    <t>甲午年二月十八</t>
  </si>
  <si>
    <t>ZA0146W01</t>
  </si>
  <si>
    <t>生乾隆甲午（1774年）二月十八日，配妻曾氏，生乾隆辛卯（1771年）八月十一日。</t>
  </si>
  <si>
    <t>ZA0147</t>
  </si>
  <si>
    <t>裕瑸</t>
  </si>
  <si>
    <t>ZA0148</t>
  </si>
  <si>
    <t>裕球</t>
  </si>
  <si>
    <t>1785.3.11</t>
  </si>
  <si>
    <t>乙巳年三月十一</t>
  </si>
  <si>
    <t>生乾隆乙巳（1785年）三月十一日。</t>
  </si>
  <si>
    <t>ZA0149</t>
  </si>
  <si>
    <t>裕琏</t>
  </si>
  <si>
    <t>1789.10.25</t>
  </si>
  <si>
    <t>己酉年十月廿五</t>
  </si>
  <si>
    <t>ZA0149W01</t>
  </si>
  <si>
    <t>生乾隆己酉（1789年）十月二十五日，配妻刘氏，生嘉庆丙辰（1796年）十二月二十日。</t>
  </si>
  <si>
    <t>ZA0150</t>
  </si>
  <si>
    <t>裕珀</t>
  </si>
  <si>
    <t>1793.10.18</t>
  </si>
  <si>
    <t>癸丑年十月十八</t>
  </si>
  <si>
    <t>生乾隆癸丑（1793年）十月十八日。</t>
  </si>
  <si>
    <t>ZA0151</t>
  </si>
  <si>
    <t>裕瑨</t>
  </si>
  <si>
    <t>ZA0152</t>
  </si>
  <si>
    <t>裕瑮</t>
  </si>
  <si>
    <t>ZA0153</t>
  </si>
  <si>
    <t>裕琨</t>
  </si>
  <si>
    <t>生乾隆，商云南。</t>
  </si>
  <si>
    <t>ZA0154</t>
  </si>
  <si>
    <t>裕昌</t>
  </si>
  <si>
    <t>1762.2.23</t>
  </si>
  <si>
    <t>壬午年二月廿三</t>
  </si>
  <si>
    <t>ZA0154W01</t>
  </si>
  <si>
    <t>生乾隆壬午（1762年）二月二十三日，配妻生乾隆甲午（1774年）十二月初八日。子一：泰袍。</t>
  </si>
  <si>
    <t>ZA0155</t>
  </si>
  <si>
    <t>裕升</t>
  </si>
  <si>
    <t>ZA0156</t>
  </si>
  <si>
    <t>兆宗</t>
  </si>
  <si>
    <t>1779.5.12</t>
  </si>
  <si>
    <t>己亥年五月十二</t>
  </si>
  <si>
    <t>ZA0156W01</t>
  </si>
  <si>
    <t>生乾隆己亥（1779年）五月十二日，配妻生乾隆己酉（1789年）九月十一日。</t>
  </si>
  <si>
    <t>ZA0157</t>
  </si>
  <si>
    <t>荣宗</t>
  </si>
  <si>
    <t>1780.2.30</t>
  </si>
  <si>
    <t>庚子年二月三十</t>
  </si>
  <si>
    <t>生乾隆庚子（1780年）二月三十日。</t>
  </si>
  <si>
    <t>ZA0158</t>
  </si>
  <si>
    <t>学宗</t>
  </si>
  <si>
    <t>1787.3.21</t>
  </si>
  <si>
    <t>丁未年三月廿一</t>
  </si>
  <si>
    <t>ZA0158W01</t>
  </si>
  <si>
    <t>生乾隆丁未（1787年）三月二十一日，配妻廖氏，生嘉庆戊午（1738年）五月二十七日。</t>
  </si>
  <si>
    <t>ZA0159</t>
  </si>
  <si>
    <t>追宗</t>
  </si>
  <si>
    <t>1791.9.21</t>
  </si>
  <si>
    <t>辛亥年九月廿一</t>
  </si>
  <si>
    <t>生乾隆辛亥（1791年）九月二十一日。</t>
  </si>
  <si>
    <t>ZA0160</t>
  </si>
  <si>
    <t>绵宗</t>
  </si>
  <si>
    <t>1782.4.17</t>
  </si>
  <si>
    <t>壬寅年四月十七</t>
  </si>
  <si>
    <t>生乾隆壬寅（1782年）四月十七日。</t>
  </si>
  <si>
    <t>ZA0161</t>
  </si>
  <si>
    <t>立宗</t>
  </si>
  <si>
    <t>1796.1.1</t>
  </si>
  <si>
    <t>生嘉庆。</t>
  </si>
  <si>
    <t>ZA0162</t>
  </si>
  <si>
    <t>报宗</t>
  </si>
  <si>
    <t>ZA0162W01</t>
  </si>
  <si>
    <t>乾隆乙卯（1795年）四月初三日，配妻刘氏，生嘉庆庚申（1740年）三月初十日。</t>
  </si>
  <si>
    <t>ZA0163</t>
  </si>
  <si>
    <t>德宗</t>
  </si>
  <si>
    <t>1801.12.2</t>
  </si>
  <si>
    <t>辛酉年十二月初二</t>
  </si>
  <si>
    <t>ZA0163W01</t>
  </si>
  <si>
    <t>生嘉庆辛酉（1801年）十二月初二日，配妻周氏，生嘉庆甲子（1804年）五月初一。</t>
  </si>
  <si>
    <t>ZA0164</t>
  </si>
  <si>
    <t>顺宗</t>
  </si>
  <si>
    <t>1802.1.25</t>
  </si>
  <si>
    <t>壬戌年元月廿五</t>
  </si>
  <si>
    <t>生嘉庆壬戌（1802年）正月二十五日。</t>
  </si>
  <si>
    <t>ZA0165</t>
  </si>
  <si>
    <t>畅宗</t>
  </si>
  <si>
    <t>1805.6.1</t>
  </si>
  <si>
    <t>乙丑年六月初一</t>
  </si>
  <si>
    <t>生嘉庆乙丑（1805年）六月。</t>
  </si>
  <si>
    <t>ZA0166</t>
  </si>
  <si>
    <t>周宗</t>
  </si>
  <si>
    <t>1808.9.4</t>
  </si>
  <si>
    <t>戊辰年九月初四</t>
  </si>
  <si>
    <t>生嘉庆戊辰（1808年）九月四日。</t>
  </si>
  <si>
    <t>ZA0167</t>
  </si>
  <si>
    <t>吉祥</t>
  </si>
  <si>
    <t>子一：启怀</t>
  </si>
  <si>
    <t>ZA0168</t>
  </si>
  <si>
    <t>多祥</t>
  </si>
  <si>
    <t>ZA0169</t>
  </si>
  <si>
    <t>泰綍</t>
  </si>
  <si>
    <t>字纯良，生子三：邦椽、邦梁、邦林。</t>
  </si>
  <si>
    <t>ZA0170</t>
  </si>
  <si>
    <t>泰绎</t>
  </si>
  <si>
    <t>字亁怀，生子二：邦椿、邦栋。</t>
  </si>
  <si>
    <t>ZA0171</t>
  </si>
  <si>
    <t>泰绵</t>
  </si>
  <si>
    <t>字振怀，生子三：邦云、邦汉、邦秀。</t>
  </si>
  <si>
    <t>ZA0172</t>
  </si>
  <si>
    <t>泰縙</t>
  </si>
  <si>
    <t>字兆怀，生子二：邦翼、邦松。</t>
  </si>
  <si>
    <t>ZA0173</t>
  </si>
  <si>
    <t>泰绍</t>
  </si>
  <si>
    <t>字后怀，生子一：邦成。</t>
  </si>
  <si>
    <t>ZA0174</t>
  </si>
  <si>
    <t>楚怀</t>
  </si>
  <si>
    <t>生子二：定烈、林烈。</t>
  </si>
  <si>
    <t>ZA0175</t>
  </si>
  <si>
    <t>启怀</t>
  </si>
  <si>
    <t>ZA0176</t>
  </si>
  <si>
    <t>邦椽</t>
  </si>
  <si>
    <t>ZA0176W01</t>
  </si>
  <si>
    <t>朱元娘</t>
  </si>
  <si>
    <t>字冰清，配妻朱元娘。生子二：洪昌、书香，女二：风珠、梅珠，出嫁上城。</t>
  </si>
  <si>
    <t>ZA0177</t>
  </si>
  <si>
    <t>邦梁</t>
  </si>
  <si>
    <t>字相如，子四：济昌、和昌、后昌、首先。</t>
  </si>
  <si>
    <t>ZA0178</t>
  </si>
  <si>
    <t>邦林</t>
  </si>
  <si>
    <t>ZA0178W01</t>
  </si>
  <si>
    <t>尹六珠</t>
  </si>
  <si>
    <t>字宣如，配尹六珠，坛源村王垅人氏，生于光绪戊戌，殁1998年八月二十五日。子四：云昌、银昌、金仕、胜仕，女一：保英。</t>
  </si>
  <si>
    <t>ZA0179</t>
  </si>
  <si>
    <t>邦椿</t>
  </si>
  <si>
    <t>ZA0179W01</t>
  </si>
  <si>
    <t>刘氏喜娘</t>
  </si>
  <si>
    <t>字实如，配刘氏喜娘，金田乡峡陂村夏屋里人氏。子三：德昌、义昌、福昌，女三：皇珠、龙珠、四珠。</t>
  </si>
  <si>
    <t>ZA0180</t>
  </si>
  <si>
    <t>邦栋</t>
  </si>
  <si>
    <t>字新如，义昌继入名下。</t>
  </si>
  <si>
    <t>ZA0181</t>
  </si>
  <si>
    <t>邦云</t>
  </si>
  <si>
    <t>ZA0181W01</t>
  </si>
  <si>
    <t>朱氏快珠</t>
  </si>
  <si>
    <t>字曙如，配朱氏快珠，后下堂糟房里周义山。</t>
  </si>
  <si>
    <t>ZA0182</t>
  </si>
  <si>
    <t>邦汉</t>
  </si>
  <si>
    <t>字海如，府君，扶嗣子一：佰昌。</t>
  </si>
  <si>
    <t>ZA0183</t>
  </si>
  <si>
    <t>邦翼</t>
  </si>
  <si>
    <t>ZA0183W01</t>
  </si>
  <si>
    <t>刘氏转娥</t>
  </si>
  <si>
    <t>字周如，配刘氏转娥。子四：佰昌、仪昌、权成、宜春，女二：顺珠、页珠。</t>
  </si>
  <si>
    <t>ZA0184</t>
  </si>
  <si>
    <t>邦松</t>
  </si>
  <si>
    <t>ZA0184W01</t>
  </si>
  <si>
    <t>陈氏二娘</t>
  </si>
  <si>
    <t>字九如，配陈氏二娘。子二：发昌、其昌，女六：活珠、乐珠、救珠、员珠、桂珠、聚珠。</t>
  </si>
  <si>
    <t>ZA0185</t>
  </si>
  <si>
    <t>邦成</t>
  </si>
  <si>
    <t>ZA0185W01</t>
  </si>
  <si>
    <t>陈氏爱娘</t>
  </si>
  <si>
    <t>字用如，配陈氏爱娘。子一：富昌，女一教珠。</t>
  </si>
  <si>
    <t>ZA0186</t>
  </si>
  <si>
    <t>定烈</t>
  </si>
  <si>
    <t>子一：富才。</t>
  </si>
  <si>
    <t>ZA0187</t>
  </si>
  <si>
    <t>林烈</t>
  </si>
  <si>
    <t>子一：先才。</t>
  </si>
  <si>
    <t>ZA0188</t>
  </si>
  <si>
    <t>洪昌</t>
  </si>
  <si>
    <t>车头后山</t>
  </si>
  <si>
    <t>35</t>
  </si>
  <si>
    <t>1917.12.8</t>
  </si>
  <si>
    <t>民国六年</t>
  </si>
  <si>
    <t>丁巳年十二月初八</t>
  </si>
  <si>
    <t>1952.1.5</t>
  </si>
  <si>
    <t>壬辰年元月初五</t>
  </si>
  <si>
    <t>ZA0188W01</t>
  </si>
  <si>
    <t>朱四珠</t>
  </si>
  <si>
    <t>生丁巳1917年十二月八日辰时，殁1952年正月五日，葬车头后山。配朱四珠，洋门乡槎江村人。子一：传芳，女一：活珠。</t>
  </si>
  <si>
    <t>ZA0189</t>
  </si>
  <si>
    <t>书香</t>
  </si>
  <si>
    <t>出嗣高洲车头刘家。</t>
  </si>
  <si>
    <t>ZA0190</t>
  </si>
  <si>
    <t>梅珠</t>
  </si>
  <si>
    <t>出嫁九溪。</t>
  </si>
  <si>
    <t>ZA0191</t>
  </si>
  <si>
    <t>和昌</t>
  </si>
  <si>
    <t>连芳过继名下。</t>
  </si>
  <si>
    <t>ZA0192</t>
  </si>
  <si>
    <t>济昌</t>
  </si>
  <si>
    <t>车头后山爬怪形，殁1957年八月十日</t>
  </si>
  <si>
    <t>1913.1.1</t>
  </si>
  <si>
    <t>民国二年</t>
  </si>
  <si>
    <t>癸丑年元月初一</t>
  </si>
  <si>
    <t>1985.4.1</t>
  </si>
  <si>
    <t>1985年</t>
  </si>
  <si>
    <t>乙丑年四月初一</t>
  </si>
  <si>
    <t>ZA0192W01</t>
  </si>
  <si>
    <t>朱氏招娘</t>
  </si>
  <si>
    <t>生1913年，殁1985年四月，配朱氏招娘，生1925年，安葬车头后山爬怪形，殁1957年八月十日。子二：春芳、连芳，女一：金珠。</t>
  </si>
  <si>
    <t>ZA0193</t>
  </si>
  <si>
    <t>后昌</t>
  </si>
  <si>
    <t>ZA0194</t>
  </si>
  <si>
    <t>首先</t>
  </si>
  <si>
    <t>ZA0195</t>
  </si>
  <si>
    <t>风珠</t>
  </si>
  <si>
    <t>ZA0196</t>
  </si>
  <si>
    <t>云昌</t>
  </si>
  <si>
    <t>车头后山爬怪形</t>
  </si>
  <si>
    <t>1923.7.24</t>
  </si>
  <si>
    <t>癸亥年七月廿四</t>
  </si>
  <si>
    <t>1998.10.4</t>
  </si>
  <si>
    <t>1998年</t>
  </si>
  <si>
    <t>戊寅年十月初四</t>
  </si>
  <si>
    <t>生民国癸亥年1923年七月二十四日未时，殁于1998年十月四日未时，安葬车头后山爬怪形。子三：建芳、清芳、水芳。_x000D_(冬香手写注：云昌妻2018年九月廿六日于上街圩，亲自跟我说，她已九十八岁饱，由此推断生于 1920年前后。她于2020年上半年去世，享年100岁有余。）</t>
  </si>
  <si>
    <t>ZA0197</t>
  </si>
  <si>
    <t>银昌</t>
  </si>
  <si>
    <t>在东头后山爬怪形</t>
  </si>
  <si>
    <t>1932.3.27</t>
  </si>
  <si>
    <t>壬申年三月廿七</t>
  </si>
  <si>
    <t>2005.12.14</t>
  </si>
  <si>
    <t>乙酉年十二月十四</t>
  </si>
  <si>
    <t>ZA0197W01</t>
  </si>
  <si>
    <t>生民国壬申1932年三月二十七日辰时，殁2005年十二月十四日，安葬在东头后山爬怪形。配永新磨沅人氏，曾转连。生子二：盐芳、油芳。</t>
  </si>
  <si>
    <t>ZA0198</t>
  </si>
  <si>
    <t>金仕</t>
  </si>
  <si>
    <t>1929.5.27</t>
  </si>
  <si>
    <t>1929年</t>
  </si>
  <si>
    <t>己巳年五月廿七</t>
  </si>
  <si>
    <t>生民国己巳1929年五月二十七日辰时，过继潭源横垅改姓尹，后不立系。</t>
  </si>
  <si>
    <t>ZA0199</t>
  </si>
  <si>
    <t>胜仕</t>
  </si>
  <si>
    <t>1935.9.21</t>
  </si>
  <si>
    <t>1935年</t>
  </si>
  <si>
    <t>乙亥年九月廿一</t>
  </si>
  <si>
    <t>生民国己亥1935年九月二十一日，过继舅父家，现潭源横垅，改姓尹，后不立系。</t>
  </si>
  <si>
    <t>ZA0200</t>
  </si>
  <si>
    <t>保英</t>
  </si>
  <si>
    <t>1945.9.9</t>
  </si>
  <si>
    <t>1945年</t>
  </si>
  <si>
    <t>乙酉年九月初九</t>
  </si>
  <si>
    <t>周桂章</t>
  </si>
  <si>
    <t>生民国乙酉1945年九月九日，下嫁车头村糟房里，周桂章。</t>
  </si>
  <si>
    <t>ZA0201</t>
  </si>
  <si>
    <t>德昌</t>
  </si>
  <si>
    <t>在车头后山爬怪形朝北</t>
  </si>
  <si>
    <t>1909.11.13</t>
  </si>
  <si>
    <t>清朝宣统元年</t>
  </si>
  <si>
    <t>己酉年十一月十三</t>
  </si>
  <si>
    <t>1985.8.29</t>
  </si>
  <si>
    <t>乙丑年八月廿九</t>
  </si>
  <si>
    <t>ZA0201W01，ZA0201W02</t>
  </si>
  <si>
    <t>刘氏竹娘_x000D__x000D_
刘氏年娘</t>
  </si>
  <si>
    <t>生宣统己酉1909年十一月十三日亥时，殁1985年八月二十九日申时，配妻刘氏竹娘。续配刘氏年娘，安葬在车头后山爬怪形朝北。子一：顺芳、女二：银珠、九珠。</t>
  </si>
  <si>
    <t>ZA0202</t>
  </si>
  <si>
    <t>义昌</t>
  </si>
  <si>
    <t>在车头村后山爬怪形</t>
  </si>
  <si>
    <t>1921.8.16</t>
  </si>
  <si>
    <t>辛酉年八月十六</t>
  </si>
  <si>
    <t>1996.8.23</t>
  </si>
  <si>
    <t>1996年</t>
  </si>
  <si>
    <t>ZA0202W01</t>
  </si>
  <si>
    <t>黄救珠</t>
  </si>
  <si>
    <t>生民国辛酉1921年八月十六日，殁丙子1996年八月二十三日，安葬在车头村后山爬怪形。配妻黄救珠，洋门乡草塘岭上人氏，生于癸亥1923年八月二十九日，殁于1997年十月三日。子四：季芳、元芳、兰芳、圆芳。</t>
  </si>
  <si>
    <t>ZA0203</t>
  </si>
  <si>
    <t>福昌</t>
  </si>
  <si>
    <t>元芳继入名下。</t>
  </si>
  <si>
    <t>ZA0204</t>
  </si>
  <si>
    <t>皇珠</t>
  </si>
  <si>
    <t>适洋门乡上坛源谢彬开。</t>
  </si>
  <si>
    <t>ZA0205</t>
  </si>
  <si>
    <t>龙珠</t>
  </si>
  <si>
    <t>适本土刘月先。</t>
  </si>
  <si>
    <t>ZA0206</t>
  </si>
  <si>
    <t>四珠</t>
  </si>
  <si>
    <t>适金田乡峡陂西江里刘立长。</t>
  </si>
  <si>
    <t>ZA0207</t>
  </si>
  <si>
    <t>伯昌</t>
  </si>
  <si>
    <t>1933.1.23</t>
  </si>
  <si>
    <t>癸酉年元月廿三</t>
  </si>
  <si>
    <t>生于1933年一月二十三日卯时，继子一：**继芳**。</t>
  </si>
  <si>
    <t>ZA0208</t>
  </si>
  <si>
    <t>仪昌</t>
  </si>
  <si>
    <t>1946.8.18</t>
  </si>
  <si>
    <t>1946年</t>
  </si>
  <si>
    <t>丙戌年八月十八</t>
  </si>
  <si>
    <t>ZA0208W01</t>
  </si>
  <si>
    <t>唐娣华</t>
  </si>
  <si>
    <t>生于1946年八月十八日申时，配妻唐娣华，生1944年十一月十四日午时。子一：**林芳**，女一：**晓群**，出嫁高洲张家里。</t>
  </si>
  <si>
    <t>ZA0209</t>
  </si>
  <si>
    <t>权成</t>
  </si>
  <si>
    <t>出继永新县芦溪乡马田村，改姓曾，后不立系。</t>
  </si>
  <si>
    <t>ZA0210</t>
  </si>
  <si>
    <t>宜春</t>
  </si>
  <si>
    <t>出继彭坊乡彭坊村横安，已改姓肖，后不立系。</t>
  </si>
  <si>
    <t>ZA0211</t>
  </si>
  <si>
    <t>发昌</t>
  </si>
  <si>
    <t>1918.9.25</t>
  </si>
  <si>
    <t>戊午年九月廿五</t>
  </si>
  <si>
    <t>1978.11.18</t>
  </si>
  <si>
    <t>1978年</t>
  </si>
  <si>
    <t>戊午年十一月十八</t>
  </si>
  <si>
    <t>生1918年九月二十五日，殁1978年十一月十八日。扶子一：**积芳**，女一：**喜兰**。</t>
  </si>
  <si>
    <t>ZA0212</t>
  </si>
  <si>
    <t>其昌</t>
  </si>
  <si>
    <t>1929.1.1</t>
  </si>
  <si>
    <t>己巳年元月初一</t>
  </si>
  <si>
    <t>1995.7.1</t>
  </si>
  <si>
    <t>乙亥年七月初一</t>
  </si>
  <si>
    <t>ZA0212W01</t>
  </si>
  <si>
    <t>刘珍珠</t>
  </si>
  <si>
    <t>生1929年，殁1995年七月。配刘珍珠，殁1963年六月十三日，同葬车头后山爬怪形。子二：**腾芳**、**良才**。</t>
  </si>
  <si>
    <t>ZA0213</t>
  </si>
  <si>
    <t>富昌</t>
  </si>
  <si>
    <t>早亡。</t>
  </si>
  <si>
    <t>ZA0214</t>
  </si>
  <si>
    <t>富才</t>
  </si>
  <si>
    <t>南岑洋里企</t>
  </si>
  <si>
    <t>1910.4.1</t>
  </si>
  <si>
    <t>清朝宣统二年</t>
  </si>
  <si>
    <t>庚戌年四月初一</t>
  </si>
  <si>
    <t>1974.4.1</t>
  </si>
  <si>
    <t>1974年</t>
  </si>
  <si>
    <t>甲寅年四月初一</t>
  </si>
  <si>
    <t>生1910年四月，殁1974年四月，葬南岑洋里企。抚嗣子一：**瑞生**。</t>
  </si>
  <si>
    <t>ZA0215</t>
  </si>
  <si>
    <t>先才</t>
  </si>
  <si>
    <t>风形企右鼻山足下</t>
  </si>
  <si>
    <t>1911.1.1</t>
  </si>
  <si>
    <t>1945.1.1</t>
  </si>
  <si>
    <t>ZA0215W01</t>
  </si>
  <si>
    <t>刘亲英</t>
  </si>
  <si>
    <t>生1911年，殁于1945年，葬风形企右鼻山足下。配永新社远刘亲英。子一：**桃生**。</t>
  </si>
  <si>
    <t>ZA0216</t>
  </si>
  <si>
    <t>传芳</t>
  </si>
  <si>
    <t>1943.7.17</t>
  </si>
  <si>
    <t>1943年</t>
  </si>
  <si>
    <t>癸未年七月十七</t>
  </si>
  <si>
    <t>ZA0216W01</t>
  </si>
  <si>
    <t>杜根香</t>
  </si>
  <si>
    <t>排长; 副连长; 连长; 营长; 营党支部书记; 经理; 支部书记</t>
  </si>
  <si>
    <t>1943年七月十七日午时生。1964年1月参加中国人民解放军，从1969年起先后担任排长、副连长、连长、营长和营党支部书记。1967年3月加入中国共产党。1981年转业到江西省樟树市农业生产资料公司任经理、支部书记，2003年退休，定居樟树市。配杜根香，1946年八月四日酉时，初中文化，1969年加入中国共产党，1970年1月参加樟脑磷肥厂工作，后在转供销社工作，1994年退休。生子一：**青**，女一：**莉**。居住樟树市。</t>
  </si>
  <si>
    <t>ZA0217</t>
  </si>
  <si>
    <t>季芳</t>
  </si>
  <si>
    <t>1948.3.8</t>
  </si>
  <si>
    <t>戊子年三月初八</t>
  </si>
  <si>
    <t>ZA0217W01</t>
  </si>
  <si>
    <t>刘桂妹</t>
  </si>
  <si>
    <t>林业站站长</t>
  </si>
  <si>
    <t>生1948年三月八日亥时，1968年参加中国人民解放军，1972年退伍，同年在安福县陈山林场从事林业工作，1979年调入安福县林业局工作，任林业站站长。2008年退休，参加这次罗氏族谱修编工作，在这次修编工作中不辞辛苦、收集资料、精心整理、不计报酬，为编制族谱做了一定的工作。配永新县芦溪乡社圆刘桂妹，生1954年七月二十日子时。子二：**小林**、**生林**，女一：**慧兰**。</t>
  </si>
  <si>
    <t>ZA0218</t>
  </si>
  <si>
    <t>元芳</t>
  </si>
  <si>
    <t>1951.4.18</t>
  </si>
  <si>
    <t>1951年</t>
  </si>
  <si>
    <t>辛卯年四月十八</t>
  </si>
  <si>
    <t>ZA0218W01</t>
  </si>
  <si>
    <t>刘招珠</t>
  </si>
  <si>
    <t>生1951年四月十八日亥时，配刘招珠，生1949年九月十九日。子二：**新民**、**世民**，女一：**金兰**。</t>
  </si>
  <si>
    <t>ZA0219</t>
  </si>
  <si>
    <t>兰芳</t>
  </si>
  <si>
    <t>1957.3.16</t>
  </si>
  <si>
    <t>1957年</t>
  </si>
  <si>
    <t>丁酉年三月十六</t>
  </si>
  <si>
    <t>生1957年三月十六日酉时，出嗣本乡草塘村，改姓黄，后不立系。</t>
  </si>
  <si>
    <t>ZA0220</t>
  </si>
  <si>
    <t>圆芳</t>
  </si>
  <si>
    <t>1963.11.12</t>
  </si>
  <si>
    <t>1963年</t>
  </si>
  <si>
    <t>癸卯年十一月十二</t>
  </si>
  <si>
    <t>ZA0220W01</t>
  </si>
  <si>
    <t>刘玉兰</t>
  </si>
  <si>
    <t>生1963年十一月十二日己时，配刘玉兰，洋门乡上城村人氏，生1966年三月十一日。子一：**宁**，女一：**飞**。</t>
  </si>
  <si>
    <t>ZA0221</t>
  </si>
  <si>
    <t>继芳</t>
  </si>
  <si>
    <t>1967.4.7</t>
  </si>
  <si>
    <t>1967年</t>
  </si>
  <si>
    <t>丁未年四月初七</t>
  </si>
  <si>
    <t>ZA0221W01</t>
  </si>
  <si>
    <t>刘桂兰</t>
  </si>
  <si>
    <t>生1967年四月七日寅时，配高洲村车头村刘桂兰，生1971年2月十八日辰时。子一：**俊明**，女二：**佳林**、**佳欣**。</t>
  </si>
  <si>
    <t>ZA0222</t>
  </si>
  <si>
    <t>林芳</t>
  </si>
  <si>
    <t>1973.5.7</t>
  </si>
  <si>
    <t>1973年</t>
  </si>
  <si>
    <t>癸丑年五月初七</t>
  </si>
  <si>
    <t>生1973年五月七日申时。</t>
  </si>
  <si>
    <t>ZA0223</t>
  </si>
  <si>
    <t>晓群</t>
  </si>
  <si>
    <t>1967.11.2</t>
  </si>
  <si>
    <t>丁未年十一月初二</t>
  </si>
  <si>
    <t>生1967年十一月二日亥时，适本土张家里。</t>
  </si>
  <si>
    <t>ZA0224</t>
  </si>
  <si>
    <t>积芳</t>
  </si>
  <si>
    <t>ZA0224W01</t>
  </si>
  <si>
    <t>贺春英</t>
  </si>
  <si>
    <t>洲湖彭坊邮电支局局长; 县邮电局电股股长</t>
  </si>
  <si>
    <t>1940年九月九日生，1958年参加工作，在安福县邮政局长期从事机务修理、设计架设电话电报线路，并曾任洲湖、彭坊邮电支局局长多年，80年任县邮电局电股股长，88年退休。配偶贺春英，1942年二月二十一日生，永新县七都象形人氏，定居安福县城。子三：**润民**、**惠明**、**焕明**，女二：**美兰**、**谷兰**。居住安福县城。</t>
  </si>
  <si>
    <t>ZA0225</t>
  </si>
  <si>
    <t>喜兰</t>
  </si>
  <si>
    <t>ZA0226</t>
  </si>
  <si>
    <t>秀兰</t>
  </si>
  <si>
    <t>1961.3.1</t>
  </si>
  <si>
    <t>1961年</t>
  </si>
  <si>
    <t>辛丑年三月初一</t>
  </si>
  <si>
    <t>生1961年三月，适本土张家里。</t>
  </si>
  <si>
    <t>ZA0227</t>
  </si>
  <si>
    <t>腾芳</t>
  </si>
  <si>
    <t>1956.1.1</t>
  </si>
  <si>
    <t>ZA0227W01</t>
  </si>
  <si>
    <t>周桂英</t>
  </si>
  <si>
    <t>生1956年，配周桂英，洋门乡上街村三背人氏，生1955年。子二：**建明**、**康明**。</t>
  </si>
  <si>
    <t>ZA0228</t>
  </si>
  <si>
    <t>活珠</t>
  </si>
  <si>
    <t>1950.6.26</t>
  </si>
  <si>
    <t>1950年</t>
  </si>
  <si>
    <t>庚寅年六月廿六</t>
  </si>
  <si>
    <t>生1950年六月二十六日己时，适洋门乡村背村沙溪刘富珍。</t>
  </si>
  <si>
    <t>ZA0229</t>
  </si>
  <si>
    <t>连芳</t>
  </si>
  <si>
    <t>1952.7.7</t>
  </si>
  <si>
    <t>壬辰年七月初七</t>
  </si>
  <si>
    <t>ZA0229W01</t>
  </si>
  <si>
    <t>黄海珠</t>
  </si>
  <si>
    <t>加油站站长; 油库主任</t>
  </si>
  <si>
    <t>生1952年七月七日，1979年参加中国人民解放军，在广西空军部队服役，中国共产党员，1979年至2001年在江西安福石油公司任加油站站长、油库主任。配石溪乡浩林村黄海珠，生1954年五月十四日。子一：**斌**，女一：**娟**，在安福县城定居。</t>
  </si>
  <si>
    <t>ZA0230</t>
  </si>
  <si>
    <t>春芳</t>
  </si>
  <si>
    <t>1936.2.27</t>
  </si>
  <si>
    <t>丙子年二月廿七</t>
  </si>
  <si>
    <t>ZA0230W01</t>
  </si>
  <si>
    <t>刘花珠</t>
  </si>
  <si>
    <t>生于1936年二月二十七日，共产党员，多年在村任会计员。配妻高洲村车头刘花珠，生1940年，殁1978年十二月一日，葬车头后山爬怪形。子四：**洋明**、**松明**、**忠明**、**金明**，女二：**海兰**、**友兰**。</t>
  </si>
  <si>
    <t>ZA0231</t>
  </si>
  <si>
    <t>建芳</t>
  </si>
  <si>
    <t>1952.12.7</t>
  </si>
  <si>
    <t>壬辰年十二月初七</t>
  </si>
  <si>
    <t>ZA0231W01</t>
  </si>
  <si>
    <t>陈转英</t>
  </si>
  <si>
    <t>生1952年十二月七日戌时，参加过中国人民解放军，共产党员。配陈转英，生1955年四月二十四日辰时。子一：**志明**，女二：**胜兰**、**三兰**。</t>
  </si>
  <si>
    <t>ZA0232</t>
  </si>
  <si>
    <t>清芳</t>
  </si>
  <si>
    <t>1955.9.9</t>
  </si>
  <si>
    <t>1955年</t>
  </si>
  <si>
    <t>乙未年九月初九</t>
  </si>
  <si>
    <t>1994.11.6</t>
  </si>
  <si>
    <t>甲戌年十一月初六</t>
  </si>
  <si>
    <t>ZA0232W01</t>
  </si>
  <si>
    <t>唐淑德</t>
  </si>
  <si>
    <t>生1955年九月九日寅时，殁1994年十一月六日，安葬车头后山爬怪形。配唐淑德，生1952年十二月八日。子一：**晓明**，女一：**喜兰**。</t>
  </si>
  <si>
    <t>ZA0233</t>
  </si>
  <si>
    <t>水芳</t>
  </si>
  <si>
    <t>1964.9.6</t>
  </si>
  <si>
    <t>甲辰年九月初六</t>
  </si>
  <si>
    <t>ZA0233W01</t>
  </si>
  <si>
    <t>刘冬娥</t>
  </si>
  <si>
    <t>生1964年九月初六日寅时，配刘冬娥，生1964年十二月十六日申时。子一：**军明**，女一：**琴**。</t>
  </si>
  <si>
    <t>ZA0234</t>
  </si>
  <si>
    <t>盐芳</t>
  </si>
  <si>
    <t>1963.2.15</t>
  </si>
  <si>
    <t>癸卯年二月十五</t>
  </si>
  <si>
    <t>ZA0234W01</t>
  </si>
  <si>
    <t>彭笑英</t>
  </si>
  <si>
    <t>生1963年二月十五日亥时，配彭笑英，生1968年十月三十日。子一：**佳明**，女二：**兰兰**、**招兰**。</t>
  </si>
  <si>
    <t>ZA0235</t>
  </si>
  <si>
    <t>油芳</t>
  </si>
  <si>
    <t>1965.8.10</t>
  </si>
  <si>
    <t>1965年</t>
  </si>
  <si>
    <t>乙巳年八月初十</t>
  </si>
  <si>
    <t>ZA0235W01</t>
  </si>
  <si>
    <t>刘银珠</t>
  </si>
  <si>
    <t>生1965年八月十日巳时，配刘银珠，生1966年十月八日。子一：**光明**，女一：**娇娇**。</t>
  </si>
  <si>
    <t>ZA0236</t>
  </si>
  <si>
    <t>顺芳</t>
  </si>
  <si>
    <t>1947.10.9</t>
  </si>
  <si>
    <t>1947年</t>
  </si>
  <si>
    <t>丁亥年十月初九</t>
  </si>
  <si>
    <t>1992.7.9</t>
  </si>
  <si>
    <t>1992年</t>
  </si>
  <si>
    <t>壬申年七月初九</t>
  </si>
  <si>
    <t>ZA0236W01</t>
  </si>
  <si>
    <t>周页英</t>
  </si>
  <si>
    <t>生1947年十月九日亥时，殁1992年七月九日，葬车头后山爬怪形。配周页英，生1949年八月十五日。子一：**正明**，女三：**梅兰**、**青兰**、**五兰**。</t>
  </si>
  <si>
    <t>ZA0237</t>
  </si>
  <si>
    <t>银珠</t>
  </si>
  <si>
    <t>适金田峡陂村厦屋里陈发卿。</t>
  </si>
  <si>
    <t>ZA0238</t>
  </si>
  <si>
    <t>九珠</t>
  </si>
  <si>
    <t>适洋门乡高洲村脑头刘文基。</t>
  </si>
  <si>
    <t>ZA0239</t>
  </si>
  <si>
    <t>良才</t>
  </si>
  <si>
    <t>出嗣洋门乡上街村三背，改姓刘，后不立系。</t>
  </si>
  <si>
    <t>ZA0240</t>
  </si>
  <si>
    <t>瑞生</t>
  </si>
  <si>
    <t>1942.6.15</t>
  </si>
  <si>
    <t>壬午年六月十五</t>
  </si>
  <si>
    <t>ZA0240W01</t>
  </si>
  <si>
    <t>李页娥</t>
  </si>
  <si>
    <t>生1942年六月十五日，配妻李页娥，生1940年四月二十六日，永新县芦溪乡村背人氏。现居住水南。子一：**洪锋**，女四：**水连**、**风连**、**媛连**、**福连**。</t>
  </si>
  <si>
    <t>ZA0241</t>
  </si>
  <si>
    <t>桃生</t>
  </si>
  <si>
    <t>1945.8.15</t>
  </si>
  <si>
    <t>乙酉年八月十五</t>
  </si>
  <si>
    <t>2010.10.10</t>
  </si>
  <si>
    <t>2010年</t>
  </si>
  <si>
    <t>庚寅年十月初十</t>
  </si>
  <si>
    <t>ZA0241W01</t>
  </si>
  <si>
    <t>刘书英</t>
  </si>
  <si>
    <t>生1945年八月十五日。配上城刘书英，生1952年三月十日。女二：**玉华**、**梅华**。殁于2010年10月10日。葬（手写体）</t>
  </si>
  <si>
    <t>字灿高、号朗亭，治易经屡试童军未售因入人大学生，生乾隆辛未（1751年）1月23日，殁嘉庆乙丑（1805年）八月八日，殁四川宁源县长官司。配陈氏，生乾隆壬申（1752年）二月二十九日。子一：裕珍。</t>
    <phoneticPr fontId="1" type="noConversion"/>
  </si>
  <si>
    <t>字东轩、号南峰，出书经幼攻举业，屡试书未售因入大学生，生乾隆甲午（1737年）一月十三日，殁乾隆丁未（1805年）四月二十四日，葬水南屋后蟹形下牌艮向。配彭氏，生乾隆辛酉年（1741年）十一月二十五日。子五：裕琮、裕琳、裕瑾、裕珅、裕瑄。（阳先注:1737为乾隆丁巳年）</t>
    <phoneticPr fontId="1" type="noConversion"/>
  </si>
  <si>
    <t>生1939年八月，主治医师职称，先后在陈山林场、谷源山林场职工医院任院长，现退休在家。配本县塘坊朱翠莹，生1943年十月，殁2004年十二月，葬潭源掌形。子二：德才、现才，女一：素娟。</t>
    <phoneticPr fontId="1" type="noConversion"/>
  </si>
  <si>
    <t>医院院长</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</si>
</sst>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等线"/>
      <family val="2"/>
      <scheme val="minor"/>
    </font>
    <font>
      <sz val="9"/>
      <name val="等线"/>
      <family val="3"/>
      <charset val="134"/>
      <scheme val="minor"/>
    </font>
    <font>
      <sz val="10"/>
      <color rgb="FF0F1115"/>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1" fontId="0" fillId="0" borderId="0" xfId="0" applyNumberFormat="1"/>
    <xf numFmtId="0" fontId="0" fillId="0" borderId="0" xfId="0" applyAlignment="1">
      <alignment wrapText="1"/>
    </xf>
    <xf numFmtId="0" fontId="2" fillId="0" borderId="0" xfId="0" applyFont="1"/>
    <xf numFmtId="0" fontId="0" fillId="0" borderId="0" xfId="0" applyAlignment="1">
      <alignment vertical="center"/>
    </xf>
  </cellXfs>
  <cellStyles count="1">
    <cellStyle name="常规" xfId="0" builtinId="0"/>
  </cellStyles>
  <dxfs count="1">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tabase/&#22971;&#23376;&#34920;.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妻子表"/>
    </sheetNames>
    <sheetDataSet>
      <sheetData sheetId="0">
        <row r="1">
          <cell r="A1" t="str">
            <v>ID</v>
          </cell>
          <cell r="B1" t="str">
            <v>丈夫ID</v>
          </cell>
          <cell r="C1" t="str">
            <v>丈夫姓名</v>
          </cell>
          <cell r="D1" t="str">
            <v>姓名</v>
          </cell>
        </row>
        <row r="2">
          <cell r="A2" t="str">
            <v>M000001W01</v>
          </cell>
          <cell r="B2" t="str">
            <v>M000001</v>
          </cell>
          <cell r="C2" t="str">
            <v>公瑾</v>
          </cell>
          <cell r="D2" t="str">
            <v>王氏</v>
          </cell>
        </row>
        <row r="3">
          <cell r="A3" t="str">
            <v>M000003W01</v>
          </cell>
          <cell r="B3" t="str">
            <v>M000003</v>
          </cell>
          <cell r="C3" t="str">
            <v>必渭</v>
          </cell>
          <cell r="D3" t="str">
            <v>王氏</v>
          </cell>
        </row>
        <row r="4">
          <cell r="A4" t="str">
            <v>M000004W01</v>
          </cell>
          <cell r="B4" t="str">
            <v>M000004</v>
          </cell>
          <cell r="C4" t="str">
            <v>一襄</v>
          </cell>
          <cell r="D4" t="str">
            <v>王氏</v>
          </cell>
        </row>
        <row r="5">
          <cell r="A5" t="str">
            <v>M000004W02</v>
          </cell>
          <cell r="B5" t="str">
            <v>M000004</v>
          </cell>
          <cell r="C5" t="str">
            <v>一襄</v>
          </cell>
          <cell r="D5" t="str">
            <v>邬氏</v>
          </cell>
        </row>
        <row r="6">
          <cell r="A6" t="str">
            <v>M000005W01</v>
          </cell>
          <cell r="B6" t="str">
            <v>M000005</v>
          </cell>
          <cell r="C6" t="str">
            <v>重荣</v>
          </cell>
          <cell r="D6" t="str">
            <v>王氏</v>
          </cell>
        </row>
        <row r="7">
          <cell r="A7" t="str">
            <v>M000005W02</v>
          </cell>
          <cell r="B7" t="str">
            <v>M000005</v>
          </cell>
          <cell r="C7" t="str">
            <v>重荣</v>
          </cell>
          <cell r="D7" t="str">
            <v>陈氏</v>
          </cell>
        </row>
        <row r="8">
          <cell r="A8" t="str">
            <v>M000005W03</v>
          </cell>
          <cell r="B8" t="str">
            <v>M000005</v>
          </cell>
          <cell r="C8" t="str">
            <v>重荣</v>
          </cell>
          <cell r="D8" t="str">
            <v>王氏</v>
          </cell>
        </row>
        <row r="9">
          <cell r="A9" t="str">
            <v>M000008W01</v>
          </cell>
          <cell r="B9" t="str">
            <v>M000008</v>
          </cell>
          <cell r="C9" t="str">
            <v>宗彦</v>
          </cell>
          <cell r="D9" t="str">
            <v>王氏</v>
          </cell>
        </row>
        <row r="10">
          <cell r="A10" t="str">
            <v>M000008W02</v>
          </cell>
          <cell r="B10" t="str">
            <v>M000008</v>
          </cell>
          <cell r="C10" t="str">
            <v>宗彦</v>
          </cell>
          <cell r="D10" t="str">
            <v>刘氏</v>
          </cell>
        </row>
        <row r="11">
          <cell r="A11" t="str">
            <v>M000008W03</v>
          </cell>
          <cell r="B11" t="str">
            <v>M000008</v>
          </cell>
          <cell r="C11" t="str">
            <v>宗彦</v>
          </cell>
          <cell r="D11" t="str">
            <v>王氏</v>
          </cell>
        </row>
        <row r="12">
          <cell r="A12" t="str">
            <v>M000008W04</v>
          </cell>
          <cell r="B12" t="str">
            <v>M000008</v>
          </cell>
          <cell r="C12" t="str">
            <v>宗彦</v>
          </cell>
          <cell r="D12" t="str">
            <v>王氏</v>
          </cell>
        </row>
        <row r="13">
          <cell r="A13" t="str">
            <v>M000008W05</v>
          </cell>
          <cell r="B13" t="str">
            <v>M000008</v>
          </cell>
          <cell r="C13" t="str">
            <v>宗彦</v>
          </cell>
          <cell r="D13" t="str">
            <v>欧阳氏</v>
          </cell>
        </row>
        <row r="14">
          <cell r="A14" t="str">
            <v>M000010W01</v>
          </cell>
          <cell r="B14" t="str">
            <v>M000010</v>
          </cell>
          <cell r="C14" t="str">
            <v>中成</v>
          </cell>
          <cell r="D14" t="str">
            <v>彭氏</v>
          </cell>
        </row>
        <row r="15">
          <cell r="A15" t="str">
            <v>M000012W01</v>
          </cell>
          <cell r="B15" t="str">
            <v>M000012</v>
          </cell>
          <cell r="C15" t="str">
            <v>惠迪</v>
          </cell>
          <cell r="D15" t="str">
            <v>王氏</v>
          </cell>
        </row>
        <row r="16">
          <cell r="A16" t="str">
            <v>M000012W02</v>
          </cell>
          <cell r="B16" t="str">
            <v>M000012</v>
          </cell>
          <cell r="C16" t="str">
            <v>惠迪</v>
          </cell>
          <cell r="D16" t="str">
            <v>李氏</v>
          </cell>
        </row>
        <row r="17">
          <cell r="A17" t="str">
            <v>M000015W01</v>
          </cell>
          <cell r="B17" t="str">
            <v>M000015</v>
          </cell>
          <cell r="C17" t="str">
            <v>世显</v>
          </cell>
          <cell r="D17" t="str">
            <v>王氏</v>
          </cell>
        </row>
        <row r="18">
          <cell r="A18" t="str">
            <v>M000017W01</v>
          </cell>
          <cell r="B18" t="str">
            <v>M000017</v>
          </cell>
          <cell r="C18" t="str">
            <v>逢辰</v>
          </cell>
          <cell r="D18" t="str">
            <v>李氏</v>
          </cell>
        </row>
        <row r="19">
          <cell r="A19" t="str">
            <v>M000018W01</v>
          </cell>
          <cell r="B19" t="str">
            <v>M000018</v>
          </cell>
          <cell r="C19" t="str">
            <v>宏仁</v>
          </cell>
          <cell r="D19" t="str">
            <v>李氏</v>
          </cell>
        </row>
        <row r="20">
          <cell r="A20" t="str">
            <v>M000020W01</v>
          </cell>
          <cell r="B20" t="str">
            <v>M000020</v>
          </cell>
          <cell r="C20" t="str">
            <v>涣然</v>
          </cell>
          <cell r="D20" t="str">
            <v>彭氏</v>
          </cell>
        </row>
        <row r="21">
          <cell r="A21" t="str">
            <v>M000025W01</v>
          </cell>
          <cell r="B21" t="str">
            <v>M000025</v>
          </cell>
          <cell r="C21" t="str">
            <v>定</v>
          </cell>
          <cell r="D21" t="str">
            <v>周氏</v>
          </cell>
        </row>
        <row r="22">
          <cell r="A22" t="str">
            <v>M000026W01</v>
          </cell>
          <cell r="B22" t="str">
            <v>M000026</v>
          </cell>
          <cell r="C22" t="str">
            <v>原</v>
          </cell>
          <cell r="D22" t="str">
            <v>彭氏</v>
          </cell>
        </row>
        <row r="23">
          <cell r="A23" t="str">
            <v>M000029W01</v>
          </cell>
          <cell r="B23" t="str">
            <v>M000029</v>
          </cell>
          <cell r="C23" t="str">
            <v>仲邦</v>
          </cell>
          <cell r="D23" t="str">
            <v>朱氏</v>
          </cell>
        </row>
        <row r="24">
          <cell r="A24" t="str">
            <v>M000030W01</v>
          </cell>
          <cell r="B24" t="str">
            <v>M000030</v>
          </cell>
          <cell r="C24" t="str">
            <v>季邦</v>
          </cell>
          <cell r="D24" t="str">
            <v>戴氏</v>
          </cell>
        </row>
        <row r="25">
          <cell r="A25" t="str">
            <v>M000030W02</v>
          </cell>
          <cell r="B25" t="str">
            <v>M000030</v>
          </cell>
          <cell r="C25" t="str">
            <v>季邦</v>
          </cell>
          <cell r="D25" t="str">
            <v>熊氏</v>
          </cell>
        </row>
        <row r="26">
          <cell r="A26" t="str">
            <v>M000031W01</v>
          </cell>
          <cell r="B26" t="str">
            <v>M000031</v>
          </cell>
          <cell r="C26" t="str">
            <v>筮元</v>
          </cell>
          <cell r="D26" t="str">
            <v>陈氏</v>
          </cell>
        </row>
        <row r="27">
          <cell r="A27" t="str">
            <v>M000032W01</v>
          </cell>
          <cell r="B27" t="str">
            <v>M000032</v>
          </cell>
          <cell r="C27" t="str">
            <v>明</v>
          </cell>
          <cell r="D27" t="str">
            <v>王氏</v>
          </cell>
        </row>
        <row r="28">
          <cell r="A28" t="str">
            <v>M000034W01</v>
          </cell>
          <cell r="B28" t="str">
            <v>M000034</v>
          </cell>
          <cell r="C28" t="str">
            <v>斗珠</v>
          </cell>
          <cell r="D28" t="str">
            <v>曾氏</v>
          </cell>
        </row>
        <row r="29">
          <cell r="A29" t="str">
            <v>M000035W01</v>
          </cell>
          <cell r="B29" t="str">
            <v>M000035</v>
          </cell>
          <cell r="C29" t="str">
            <v>正珠</v>
          </cell>
          <cell r="D29" t="str">
            <v>刘氏</v>
          </cell>
        </row>
        <row r="30">
          <cell r="A30" t="str">
            <v>M000036W01</v>
          </cell>
          <cell r="B30" t="str">
            <v>M000036</v>
          </cell>
          <cell r="C30" t="str">
            <v>善</v>
          </cell>
          <cell r="D30" t="str">
            <v>史氏</v>
          </cell>
        </row>
        <row r="31">
          <cell r="A31" t="str">
            <v>M000037W01</v>
          </cell>
          <cell r="B31" t="str">
            <v>M000037</v>
          </cell>
          <cell r="C31" t="str">
            <v>芄</v>
          </cell>
          <cell r="D31" t="str">
            <v>旷氏</v>
          </cell>
        </row>
        <row r="32">
          <cell r="A32" t="str">
            <v>M000038W01</v>
          </cell>
          <cell r="B32" t="str">
            <v>M000038</v>
          </cell>
          <cell r="C32" t="str">
            <v>日谦</v>
          </cell>
          <cell r="D32" t="str">
            <v>郭氏</v>
          </cell>
        </row>
        <row r="33">
          <cell r="A33" t="str">
            <v>M000039W01</v>
          </cell>
          <cell r="B33" t="str">
            <v>M000039</v>
          </cell>
          <cell r="C33" t="str">
            <v>日让</v>
          </cell>
          <cell r="D33" t="str">
            <v>谢氏</v>
          </cell>
        </row>
        <row r="34">
          <cell r="A34" t="str">
            <v>M000039W02</v>
          </cell>
          <cell r="B34" t="str">
            <v>M000039</v>
          </cell>
          <cell r="C34" t="str">
            <v>日让</v>
          </cell>
          <cell r="D34" t="str">
            <v>李氏</v>
          </cell>
        </row>
        <row r="35">
          <cell r="A35" t="str">
            <v>M000040W01</v>
          </cell>
          <cell r="B35" t="str">
            <v>M000040</v>
          </cell>
          <cell r="C35" t="str">
            <v>迅</v>
          </cell>
          <cell r="D35" t="str">
            <v>王氏</v>
          </cell>
        </row>
        <row r="36">
          <cell r="A36" t="str">
            <v>M000041W01</v>
          </cell>
          <cell r="B36" t="str">
            <v>M000041</v>
          </cell>
          <cell r="C36" t="str">
            <v>应真</v>
          </cell>
          <cell r="D36" t="str">
            <v>谢氏</v>
          </cell>
        </row>
        <row r="37">
          <cell r="A37" t="str">
            <v>M000042W01</v>
          </cell>
          <cell r="B37" t="str">
            <v>M000042</v>
          </cell>
          <cell r="C37" t="str">
            <v>宏道</v>
          </cell>
          <cell r="D37" t="str">
            <v>彭氏</v>
          </cell>
        </row>
        <row r="38">
          <cell r="A38" t="str">
            <v>M002036W01</v>
          </cell>
          <cell r="B38" t="str">
            <v>M002036</v>
          </cell>
          <cell r="C38" t="str">
            <v>英</v>
          </cell>
          <cell r="D38" t="str">
            <v>谢氏</v>
          </cell>
        </row>
        <row r="39">
          <cell r="A39" t="str">
            <v>M002037W01</v>
          </cell>
          <cell r="B39" t="str">
            <v>M002037</v>
          </cell>
          <cell r="C39" t="str">
            <v>闵溪</v>
          </cell>
          <cell r="D39" t="str">
            <v>李氏</v>
          </cell>
        </row>
        <row r="40">
          <cell r="A40" t="str">
            <v>M002039W01</v>
          </cell>
          <cell r="B40" t="str">
            <v>M002039</v>
          </cell>
          <cell r="C40" t="str">
            <v>春峒</v>
          </cell>
          <cell r="D40" t="str">
            <v>旷氏</v>
          </cell>
        </row>
        <row r="41">
          <cell r="A41" t="str">
            <v>M002040W01</v>
          </cell>
          <cell r="B41" t="str">
            <v>M002040</v>
          </cell>
          <cell r="C41" t="str">
            <v>冬峒</v>
          </cell>
          <cell r="D41" t="str">
            <v>王氏</v>
          </cell>
        </row>
        <row r="42">
          <cell r="A42" t="str">
            <v>M002041W01</v>
          </cell>
          <cell r="B42" t="str">
            <v>M002041</v>
          </cell>
          <cell r="C42" t="str">
            <v>国正</v>
          </cell>
          <cell r="D42" t="str">
            <v>颜氏</v>
          </cell>
        </row>
        <row r="43">
          <cell r="A43" t="str">
            <v>M002042W01</v>
          </cell>
          <cell r="B43" t="str">
            <v>M002042</v>
          </cell>
          <cell r="C43" t="str">
            <v>一正</v>
          </cell>
          <cell r="D43" t="str">
            <v>会氏</v>
          </cell>
        </row>
        <row r="44">
          <cell r="A44" t="str">
            <v>M000043W01</v>
          </cell>
          <cell r="B44" t="str">
            <v>M000043</v>
          </cell>
          <cell r="C44" t="str">
            <v>才奕</v>
          </cell>
          <cell r="D44" t="str">
            <v>贺氏</v>
          </cell>
        </row>
        <row r="45">
          <cell r="A45" t="str">
            <v>M000044W01</v>
          </cell>
          <cell r="B45" t="str">
            <v>M000044</v>
          </cell>
          <cell r="C45" t="str">
            <v>才福</v>
          </cell>
          <cell r="D45" t="str">
            <v>刘氏</v>
          </cell>
        </row>
        <row r="46">
          <cell r="A46" t="str">
            <v>M000045W01</v>
          </cell>
          <cell r="B46" t="str">
            <v>M000045</v>
          </cell>
          <cell r="C46" t="str">
            <v>才庆</v>
          </cell>
          <cell r="D46" t="str">
            <v>刘氏</v>
          </cell>
        </row>
        <row r="47">
          <cell r="A47" t="str">
            <v>M000046W01</v>
          </cell>
          <cell r="B47" t="str">
            <v>M000046</v>
          </cell>
          <cell r="C47" t="str">
            <v>元亨</v>
          </cell>
          <cell r="D47" t="str">
            <v>左氏</v>
          </cell>
        </row>
        <row r="48">
          <cell r="A48" t="str">
            <v>M000047W01</v>
          </cell>
          <cell r="B48" t="str">
            <v>M000047</v>
          </cell>
          <cell r="C48" t="str">
            <v>元足</v>
          </cell>
          <cell r="D48" t="str">
            <v>甘氏</v>
          </cell>
        </row>
        <row r="49">
          <cell r="A49" t="str">
            <v>M000049W01</v>
          </cell>
          <cell r="B49" t="str">
            <v>M000049</v>
          </cell>
          <cell r="C49" t="str">
            <v>以煌</v>
          </cell>
          <cell r="D49" t="str">
            <v>李氏</v>
          </cell>
        </row>
        <row r="50">
          <cell r="A50" t="str">
            <v>M000050W01</v>
          </cell>
          <cell r="B50" t="str">
            <v>M000050</v>
          </cell>
          <cell r="C50" t="str">
            <v>守诚</v>
          </cell>
          <cell r="D50" t="str">
            <v>郭氏</v>
          </cell>
        </row>
        <row r="51">
          <cell r="A51" t="str">
            <v>M000051W01</v>
          </cell>
          <cell r="B51" t="str">
            <v>M000051</v>
          </cell>
          <cell r="C51" t="str">
            <v>以能</v>
          </cell>
          <cell r="D51" t="str">
            <v>彭氏</v>
          </cell>
        </row>
        <row r="52">
          <cell r="A52" t="str">
            <v>M000052W01</v>
          </cell>
          <cell r="B52" t="str">
            <v>M000052</v>
          </cell>
          <cell r="C52" t="str">
            <v>以载</v>
          </cell>
          <cell r="D52" t="str">
            <v>王氏</v>
          </cell>
        </row>
        <row r="53">
          <cell r="A53" t="str">
            <v>M000055W01</v>
          </cell>
          <cell r="B53" t="str">
            <v>M000055</v>
          </cell>
          <cell r="C53" t="str">
            <v>孔义</v>
          </cell>
          <cell r="D53" t="str">
            <v>刘氏</v>
          </cell>
        </row>
        <row r="54">
          <cell r="A54" t="str">
            <v>M000056W01</v>
          </cell>
          <cell r="B54" t="str">
            <v>M000056</v>
          </cell>
          <cell r="C54" t="str">
            <v>孔礼</v>
          </cell>
          <cell r="D54" t="str">
            <v>刘氏</v>
          </cell>
        </row>
        <row r="55">
          <cell r="A55" t="str">
            <v>M000057W01</v>
          </cell>
          <cell r="B55" t="str">
            <v>M000057</v>
          </cell>
          <cell r="C55" t="str">
            <v>孔信</v>
          </cell>
          <cell r="D55" t="str">
            <v>孟氏</v>
          </cell>
        </row>
        <row r="56">
          <cell r="A56" t="str">
            <v>M000058W01</v>
          </cell>
          <cell r="B56" t="str">
            <v>M000058</v>
          </cell>
          <cell r="C56" t="str">
            <v>孔传</v>
          </cell>
          <cell r="D56" t="str">
            <v>刘氏</v>
          </cell>
        </row>
        <row r="57">
          <cell r="A57" t="str">
            <v>M000059W01</v>
          </cell>
          <cell r="B57" t="str">
            <v>M000059</v>
          </cell>
          <cell r="C57" t="str">
            <v>孔仁</v>
          </cell>
          <cell r="D57" t="str">
            <v>萧氏</v>
          </cell>
        </row>
        <row r="58">
          <cell r="A58" t="str">
            <v>M000059W02</v>
          </cell>
          <cell r="B58" t="str">
            <v>M000059</v>
          </cell>
          <cell r="C58" t="str">
            <v>孔仁</v>
          </cell>
          <cell r="D58" t="str">
            <v>刘氏</v>
          </cell>
        </row>
        <row r="59">
          <cell r="A59" t="str">
            <v>M000060W01</v>
          </cell>
          <cell r="B59" t="str">
            <v>M000060</v>
          </cell>
          <cell r="C59" t="str">
            <v>孔智</v>
          </cell>
          <cell r="D59" t="str">
            <v>彭氏</v>
          </cell>
        </row>
        <row r="60">
          <cell r="A60" t="str">
            <v>M000061W01</v>
          </cell>
          <cell r="B60" t="str">
            <v>M000061</v>
          </cell>
          <cell r="C60" t="str">
            <v>孔贵</v>
          </cell>
          <cell r="D60" t="str">
            <v>彭氏</v>
          </cell>
        </row>
        <row r="61">
          <cell r="A61" t="str">
            <v>M000062W01</v>
          </cell>
          <cell r="B61" t="str">
            <v>M000062</v>
          </cell>
          <cell r="C61" t="str">
            <v>孔荣</v>
          </cell>
          <cell r="D61" t="str">
            <v>萧氏</v>
          </cell>
        </row>
        <row r="62">
          <cell r="A62" t="str">
            <v>M000063W01</v>
          </cell>
          <cell r="B62" t="str">
            <v>M000063</v>
          </cell>
          <cell r="C62" t="str">
            <v>启镇</v>
          </cell>
          <cell r="D62" t="str">
            <v>刘氏</v>
          </cell>
        </row>
        <row r="63">
          <cell r="A63" t="str">
            <v>M000063W02</v>
          </cell>
          <cell r="B63" t="str">
            <v>M000063</v>
          </cell>
          <cell r="C63" t="str">
            <v>启镇</v>
          </cell>
          <cell r="D63" t="str">
            <v>萧氏</v>
          </cell>
        </row>
        <row r="64">
          <cell r="A64" t="str">
            <v>M000064W01</v>
          </cell>
          <cell r="B64" t="str">
            <v>M000064</v>
          </cell>
          <cell r="C64" t="str">
            <v>启杯</v>
          </cell>
          <cell r="D64" t="str">
            <v>王氏</v>
          </cell>
        </row>
        <row r="65">
          <cell r="A65" t="str">
            <v>M000065W01</v>
          </cell>
          <cell r="B65" t="str">
            <v>M000065</v>
          </cell>
          <cell r="C65" t="str">
            <v>启钥</v>
          </cell>
          <cell r="D65" t="str">
            <v>刘氏</v>
          </cell>
        </row>
        <row r="66">
          <cell r="A66" t="str">
            <v>M000066W01</v>
          </cell>
          <cell r="B66" t="str">
            <v>M000066</v>
          </cell>
          <cell r="C66" t="str">
            <v>启铣</v>
          </cell>
          <cell r="D66" t="str">
            <v>高氏</v>
          </cell>
        </row>
        <row r="67">
          <cell r="A67" t="str">
            <v>M000067W01</v>
          </cell>
          <cell r="B67" t="str">
            <v>M000067</v>
          </cell>
          <cell r="C67" t="str">
            <v>启东</v>
          </cell>
          <cell r="D67" t="str">
            <v>王氏</v>
          </cell>
        </row>
        <row r="68">
          <cell r="A68" t="str">
            <v>M000069W01</v>
          </cell>
          <cell r="B68" t="str">
            <v>M000069</v>
          </cell>
          <cell r="C68" t="str">
            <v>启铉</v>
          </cell>
          <cell r="D68" t="str">
            <v>郭氏</v>
          </cell>
        </row>
        <row r="69">
          <cell r="A69" t="str">
            <v>M000070W01</v>
          </cell>
          <cell r="B69" t="str">
            <v>M000070</v>
          </cell>
          <cell r="C69" t="str">
            <v>启罐</v>
          </cell>
          <cell r="D69" t="str">
            <v>孟氏</v>
          </cell>
        </row>
        <row r="70">
          <cell r="A70" t="str">
            <v>M000071W01</v>
          </cell>
          <cell r="B70" t="str">
            <v>M000071</v>
          </cell>
          <cell r="C70" t="str">
            <v>启锦</v>
          </cell>
          <cell r="D70" t="str">
            <v>彭氏</v>
          </cell>
        </row>
        <row r="71">
          <cell r="A71" t="str">
            <v>M000072W01</v>
          </cell>
          <cell r="B71" t="str">
            <v>M000072</v>
          </cell>
          <cell r="C71" t="str">
            <v>启栋</v>
          </cell>
          <cell r="D71" t="str">
            <v>王氏</v>
          </cell>
        </row>
        <row r="72">
          <cell r="A72" t="str">
            <v>M000073W01</v>
          </cell>
          <cell r="B72" t="str">
            <v>M000073</v>
          </cell>
          <cell r="C72" t="str">
            <v>启梁</v>
          </cell>
          <cell r="D72" t="str">
            <v>刘氏</v>
          </cell>
        </row>
        <row r="73">
          <cell r="A73" t="str">
            <v>M000074W01</v>
          </cell>
          <cell r="B73" t="str">
            <v>M000074</v>
          </cell>
          <cell r="C73" t="str">
            <v>启松</v>
          </cell>
          <cell r="D73" t="str">
            <v>谭氏</v>
          </cell>
        </row>
        <row r="74">
          <cell r="A74" t="str">
            <v>M000075W01</v>
          </cell>
          <cell r="B74" t="str">
            <v>M000075</v>
          </cell>
          <cell r="C74" t="str">
            <v>启柏</v>
          </cell>
          <cell r="D74" t="str">
            <v>刘氏</v>
          </cell>
        </row>
        <row r="75">
          <cell r="A75" t="str">
            <v>M000076W01</v>
          </cell>
          <cell r="B75" t="str">
            <v>M000076</v>
          </cell>
          <cell r="C75" t="str">
            <v>启梅</v>
          </cell>
          <cell r="D75" t="str">
            <v>萧氏</v>
          </cell>
        </row>
        <row r="76">
          <cell r="A76" t="str">
            <v>M000077W01</v>
          </cell>
          <cell r="B76" t="str">
            <v>M000077</v>
          </cell>
          <cell r="C76" t="str">
            <v>启桂</v>
          </cell>
          <cell r="D76" t="str">
            <v>唐氏</v>
          </cell>
        </row>
        <row r="77">
          <cell r="A77" t="str">
            <v>M000078W01</v>
          </cell>
          <cell r="B77" t="str">
            <v>M000078</v>
          </cell>
          <cell r="C77" t="str">
            <v>启镜</v>
          </cell>
          <cell r="D77" t="str">
            <v>刘氏</v>
          </cell>
        </row>
        <row r="78">
          <cell r="A78" t="str">
            <v>M000079W01</v>
          </cell>
          <cell r="B78" t="str">
            <v>M000079</v>
          </cell>
          <cell r="C78" t="str">
            <v>启鉴</v>
          </cell>
          <cell r="D78" t="str">
            <v>刘氏</v>
          </cell>
        </row>
        <row r="79">
          <cell r="A79" t="str">
            <v>M000081W01</v>
          </cell>
          <cell r="B79" t="str">
            <v>M000081</v>
          </cell>
          <cell r="C79" t="str">
            <v>湑保</v>
          </cell>
          <cell r="D79" t="str">
            <v>刘氏</v>
          </cell>
        </row>
        <row r="80">
          <cell r="A80" t="str">
            <v>M000082W01</v>
          </cell>
          <cell r="B80" t="str">
            <v>M000082</v>
          </cell>
          <cell r="C80" t="str">
            <v>霁保</v>
          </cell>
          <cell r="D80" t="str">
            <v>某氏</v>
          </cell>
        </row>
        <row r="81">
          <cell r="A81" t="str">
            <v>M000083W01</v>
          </cell>
          <cell r="B81" t="str">
            <v>M000083</v>
          </cell>
          <cell r="C81" t="str">
            <v>哲保</v>
          </cell>
          <cell r="D81" t="str">
            <v>刘氏</v>
          </cell>
        </row>
        <row r="82">
          <cell r="A82" t="str">
            <v>M000084W01</v>
          </cell>
          <cell r="B82" t="str">
            <v>M000084</v>
          </cell>
          <cell r="C82" t="str">
            <v>雪保</v>
          </cell>
          <cell r="D82" t="str">
            <v>陈氏</v>
          </cell>
        </row>
        <row r="83">
          <cell r="A83" t="str">
            <v>M000086W01</v>
          </cell>
          <cell r="B83" t="str">
            <v>M000086</v>
          </cell>
          <cell r="C83" t="str">
            <v>涵瑞</v>
          </cell>
          <cell r="D83" t="str">
            <v>刘氏</v>
          </cell>
        </row>
        <row r="84">
          <cell r="A84" t="str">
            <v>M000088W01</v>
          </cell>
          <cell r="B84" t="str">
            <v>M000088</v>
          </cell>
          <cell r="C84" t="str">
            <v>涵珂</v>
          </cell>
          <cell r="D84" t="str">
            <v>刘氏</v>
          </cell>
        </row>
        <row r="85">
          <cell r="A85" t="str">
            <v>M000089W01</v>
          </cell>
          <cell r="B85" t="str">
            <v>M000089</v>
          </cell>
          <cell r="C85" t="str">
            <v>涵瑗</v>
          </cell>
          <cell r="D85" t="str">
            <v>刘氏</v>
          </cell>
        </row>
        <row r="86">
          <cell r="A86" t="str">
            <v>M000090W01</v>
          </cell>
          <cell r="B86" t="str">
            <v>M000090</v>
          </cell>
          <cell r="C86" t="str">
            <v>涵瑜</v>
          </cell>
          <cell r="D86" t="str">
            <v>陆氏</v>
          </cell>
        </row>
        <row r="87">
          <cell r="A87" t="str">
            <v>M000091W01</v>
          </cell>
          <cell r="B87" t="str">
            <v>M000091</v>
          </cell>
          <cell r="C87" t="str">
            <v>涵珍</v>
          </cell>
          <cell r="D87" t="str">
            <v>左氏</v>
          </cell>
        </row>
        <row r="88">
          <cell r="A88" t="str">
            <v>M000092W01</v>
          </cell>
          <cell r="B88" t="str">
            <v>M000092</v>
          </cell>
          <cell r="C88" t="str">
            <v>涵瑶</v>
          </cell>
          <cell r="D88" t="str">
            <v>左氏</v>
          </cell>
        </row>
        <row r="89">
          <cell r="A89" t="str">
            <v>M000093W01</v>
          </cell>
          <cell r="B89" t="str">
            <v>M000093</v>
          </cell>
          <cell r="C89" t="str">
            <v>涵瑛</v>
          </cell>
          <cell r="D89" t="str">
            <v>陈氏</v>
          </cell>
        </row>
        <row r="90">
          <cell r="A90" t="str">
            <v>M000098W01</v>
          </cell>
          <cell r="B90" t="str">
            <v>M000098</v>
          </cell>
          <cell r="C90" t="str">
            <v>元珠</v>
          </cell>
          <cell r="D90" t="str">
            <v>刘氏</v>
          </cell>
        </row>
        <row r="91">
          <cell r="A91" t="str">
            <v>M000099W01</v>
          </cell>
          <cell r="B91" t="str">
            <v>M000099</v>
          </cell>
          <cell r="C91" t="str">
            <v>金珠</v>
          </cell>
          <cell r="D91" t="str">
            <v>刘氏</v>
          </cell>
        </row>
        <row r="92">
          <cell r="A92" t="str">
            <v>M000100W01</v>
          </cell>
          <cell r="B92" t="str">
            <v>M000100</v>
          </cell>
          <cell r="C92" t="str">
            <v>玉珠</v>
          </cell>
          <cell r="D92" t="str">
            <v>肖氏</v>
          </cell>
        </row>
        <row r="93">
          <cell r="A93" t="str">
            <v>M000101W01</v>
          </cell>
          <cell r="B93" t="str">
            <v>M000101</v>
          </cell>
          <cell r="C93" t="str">
            <v>琼保</v>
          </cell>
          <cell r="D93" t="str">
            <v>刘氏</v>
          </cell>
        </row>
        <row r="94">
          <cell r="A94" t="str">
            <v>M000102W01</v>
          </cell>
          <cell r="B94" t="str">
            <v>M000102</v>
          </cell>
          <cell r="C94" t="str">
            <v>如富</v>
          </cell>
          <cell r="D94" t="str">
            <v>肖氏</v>
          </cell>
        </row>
        <row r="95">
          <cell r="A95" t="str">
            <v>M000103W01</v>
          </cell>
          <cell r="B95" t="str">
            <v>M000103</v>
          </cell>
          <cell r="C95" t="str">
            <v>如贵</v>
          </cell>
          <cell r="D95" t="str">
            <v>彭氏</v>
          </cell>
        </row>
        <row r="96">
          <cell r="A96" t="str">
            <v>M000104W01</v>
          </cell>
          <cell r="B96" t="str">
            <v>M000104</v>
          </cell>
          <cell r="C96" t="str">
            <v>涵芸</v>
          </cell>
          <cell r="D96" t="str">
            <v>颜氏</v>
          </cell>
        </row>
        <row r="97">
          <cell r="A97" t="str">
            <v>M000105W01</v>
          </cell>
          <cell r="B97" t="str">
            <v>M000105</v>
          </cell>
          <cell r="C97" t="str">
            <v>涵苓</v>
          </cell>
          <cell r="D97" t="str">
            <v>王氏</v>
          </cell>
        </row>
        <row r="98">
          <cell r="A98" t="str">
            <v>M000106W01</v>
          </cell>
          <cell r="B98" t="str">
            <v>M000106</v>
          </cell>
          <cell r="C98" t="str">
            <v>国俊</v>
          </cell>
          <cell r="D98" t="str">
            <v>刘氏</v>
          </cell>
        </row>
        <row r="99">
          <cell r="A99" t="str">
            <v>M000107W01</v>
          </cell>
          <cell r="B99" t="str">
            <v>M000107</v>
          </cell>
          <cell r="C99" t="str">
            <v>国傅</v>
          </cell>
          <cell r="D99" t="str">
            <v>杨氏</v>
          </cell>
        </row>
        <row r="100">
          <cell r="A100" t="str">
            <v>M000108W01</v>
          </cell>
          <cell r="B100" t="str">
            <v>M000108</v>
          </cell>
          <cell r="C100" t="str">
            <v>国佐</v>
          </cell>
          <cell r="D100" t="str">
            <v>刘氏</v>
          </cell>
        </row>
        <row r="101">
          <cell r="A101" t="str">
            <v>M000109W01</v>
          </cell>
          <cell r="B101" t="str">
            <v>M000109</v>
          </cell>
          <cell r="C101" t="str">
            <v>国傧</v>
          </cell>
          <cell r="D101" t="str">
            <v>项氏</v>
          </cell>
        </row>
        <row r="102">
          <cell r="A102" t="str">
            <v>M000110W01</v>
          </cell>
          <cell r="B102" t="str">
            <v>M000110</v>
          </cell>
          <cell r="C102" t="str">
            <v>源泾</v>
          </cell>
          <cell r="D102" t="str">
            <v>李氏</v>
          </cell>
        </row>
        <row r="103">
          <cell r="A103" t="str">
            <v>M000111W01</v>
          </cell>
          <cell r="B103" t="str">
            <v>M000111</v>
          </cell>
          <cell r="C103" t="str">
            <v>源渭</v>
          </cell>
          <cell r="D103" t="str">
            <v>张氏</v>
          </cell>
        </row>
        <row r="104">
          <cell r="A104" t="str">
            <v>M000112W01</v>
          </cell>
          <cell r="B104" t="str">
            <v>M000112</v>
          </cell>
          <cell r="C104" t="str">
            <v>涵清</v>
          </cell>
          <cell r="D104" t="str">
            <v>肖氏</v>
          </cell>
        </row>
        <row r="105">
          <cell r="A105" t="str">
            <v>M000114W01</v>
          </cell>
          <cell r="B105" t="str">
            <v>M000114</v>
          </cell>
          <cell r="C105" t="str">
            <v>嘉谋</v>
          </cell>
          <cell r="D105" t="str">
            <v>刘氏</v>
          </cell>
        </row>
        <row r="106">
          <cell r="A106" t="str">
            <v>M000115W01</v>
          </cell>
          <cell r="B106" t="str">
            <v>M000115</v>
          </cell>
          <cell r="C106" t="str">
            <v>嘉谌</v>
          </cell>
          <cell r="D106" t="str">
            <v>刘氏</v>
          </cell>
        </row>
        <row r="107">
          <cell r="A107" t="str">
            <v>M000116W01</v>
          </cell>
          <cell r="B107" t="str">
            <v>M000116</v>
          </cell>
          <cell r="C107" t="str">
            <v>补衮</v>
          </cell>
          <cell r="D107" t="str">
            <v>刘氏</v>
          </cell>
        </row>
        <row r="108">
          <cell r="A108" t="str">
            <v>M000118W01</v>
          </cell>
          <cell r="B108" t="str">
            <v>M000118</v>
          </cell>
          <cell r="C108" t="str">
            <v>嘉诲</v>
          </cell>
          <cell r="D108" t="str">
            <v>廖氏</v>
          </cell>
        </row>
        <row r="109">
          <cell r="A109" t="str">
            <v>M000118W02</v>
          </cell>
          <cell r="B109" t="str">
            <v>M000118</v>
          </cell>
          <cell r="C109" t="str">
            <v>嘉诲</v>
          </cell>
          <cell r="D109" t="str">
            <v>刘氏</v>
          </cell>
        </row>
        <row r="110">
          <cell r="A110" t="str">
            <v>M000119W01</v>
          </cell>
          <cell r="B110" t="str">
            <v>M000119</v>
          </cell>
          <cell r="C110" t="str">
            <v>愈珠</v>
          </cell>
          <cell r="D110" t="str">
            <v>李氏</v>
          </cell>
        </row>
        <row r="111">
          <cell r="A111" t="str">
            <v>M000120W01</v>
          </cell>
          <cell r="B111" t="str">
            <v>M000120</v>
          </cell>
          <cell r="C111" t="str">
            <v>国志</v>
          </cell>
          <cell r="D111" t="str">
            <v>刘氏</v>
          </cell>
        </row>
        <row r="112">
          <cell r="A112" t="str">
            <v>M000121W01</v>
          </cell>
          <cell r="B112" t="str">
            <v>M000121</v>
          </cell>
          <cell r="C112" t="str">
            <v>任珠</v>
          </cell>
          <cell r="D112" t="str">
            <v>某氏</v>
          </cell>
        </row>
        <row r="113">
          <cell r="A113" t="str">
            <v>M000123W01</v>
          </cell>
          <cell r="B113" t="str">
            <v>M000123</v>
          </cell>
          <cell r="C113" t="str">
            <v>天志</v>
          </cell>
          <cell r="D113" t="str">
            <v>肖氏</v>
          </cell>
        </row>
        <row r="114">
          <cell r="A114" t="str">
            <v>M000128W01</v>
          </cell>
          <cell r="B114" t="str">
            <v>M000128</v>
          </cell>
          <cell r="C114" t="str">
            <v>光纲</v>
          </cell>
          <cell r="D114" t="str">
            <v>彭氏</v>
          </cell>
        </row>
        <row r="115">
          <cell r="A115" t="str">
            <v>M000129W01</v>
          </cell>
          <cell r="B115" t="str">
            <v>M000129</v>
          </cell>
          <cell r="C115" t="str">
            <v>光续</v>
          </cell>
          <cell r="D115" t="str">
            <v>刘氏</v>
          </cell>
        </row>
        <row r="116">
          <cell r="A116" t="str">
            <v>M000129W02</v>
          </cell>
          <cell r="B116" t="str">
            <v>M000129</v>
          </cell>
          <cell r="C116" t="str">
            <v>光续</v>
          </cell>
          <cell r="D116" t="str">
            <v>刘氏</v>
          </cell>
        </row>
        <row r="117">
          <cell r="A117" t="str">
            <v>M000131W01</v>
          </cell>
          <cell r="B117" t="str">
            <v>M000131</v>
          </cell>
          <cell r="C117" t="str">
            <v>光弼</v>
          </cell>
          <cell r="D117" t="str">
            <v>陈氏</v>
          </cell>
        </row>
        <row r="118">
          <cell r="A118" t="str">
            <v>M000132W01</v>
          </cell>
          <cell r="B118" t="str">
            <v>M000132</v>
          </cell>
          <cell r="C118" t="str">
            <v>光绳</v>
          </cell>
          <cell r="D118" t="str">
            <v>刘氏</v>
          </cell>
        </row>
        <row r="119">
          <cell r="A119" t="str">
            <v>M000136W01</v>
          </cell>
          <cell r="B119" t="str">
            <v>M000136</v>
          </cell>
          <cell r="C119" t="str">
            <v>光继</v>
          </cell>
          <cell r="D119" t="str">
            <v>刘氏</v>
          </cell>
        </row>
        <row r="120">
          <cell r="A120" t="str">
            <v>M000137W01</v>
          </cell>
          <cell r="B120" t="str">
            <v>M000137</v>
          </cell>
          <cell r="C120" t="str">
            <v>光绩</v>
          </cell>
          <cell r="D120" t="str">
            <v>陈氏</v>
          </cell>
        </row>
        <row r="121">
          <cell r="A121" t="str">
            <v>M000138W01</v>
          </cell>
          <cell r="B121" t="str">
            <v>M000138</v>
          </cell>
          <cell r="C121" t="str">
            <v>锡宠</v>
          </cell>
          <cell r="D121" t="str">
            <v>肖氏</v>
          </cell>
        </row>
        <row r="122">
          <cell r="A122" t="str">
            <v>M000139W01</v>
          </cell>
          <cell r="B122" t="str">
            <v>M000139</v>
          </cell>
          <cell r="C122" t="str">
            <v>锡赞</v>
          </cell>
          <cell r="D122" t="str">
            <v>刘氏</v>
          </cell>
        </row>
        <row r="123">
          <cell r="A123" t="str">
            <v>M000139W02</v>
          </cell>
          <cell r="B123" t="str">
            <v>M000139</v>
          </cell>
          <cell r="C123" t="str">
            <v>锡赞</v>
          </cell>
          <cell r="D123" t="str">
            <v>妻生子</v>
          </cell>
        </row>
        <row r="124">
          <cell r="A124" t="str">
            <v>M000141W01</v>
          </cell>
          <cell r="B124" t="str">
            <v>M000141</v>
          </cell>
          <cell r="C124" t="str">
            <v>锡类</v>
          </cell>
          <cell r="D124" t="str">
            <v>刘氏</v>
          </cell>
        </row>
        <row r="125">
          <cell r="A125" t="str">
            <v>M000142W01</v>
          </cell>
          <cell r="B125" t="str">
            <v>M000142</v>
          </cell>
          <cell r="C125" t="str">
            <v>鼎松</v>
          </cell>
          <cell r="D125" t="str">
            <v>肖氏</v>
          </cell>
        </row>
        <row r="126">
          <cell r="A126" t="str">
            <v>M000145W01</v>
          </cell>
          <cell r="B126" t="str">
            <v>M000145</v>
          </cell>
          <cell r="C126" t="str">
            <v>鼎泰</v>
          </cell>
          <cell r="D126" t="str">
            <v>廖氏</v>
          </cell>
        </row>
        <row r="127">
          <cell r="A127" t="str">
            <v>M000146W01</v>
          </cell>
          <cell r="B127" t="str">
            <v>M000146</v>
          </cell>
          <cell r="C127" t="str">
            <v>鼎福</v>
          </cell>
          <cell r="D127" t="str">
            <v>刘氏</v>
          </cell>
        </row>
        <row r="128">
          <cell r="A128" t="str">
            <v>M000147W01</v>
          </cell>
          <cell r="B128" t="str">
            <v>M000147</v>
          </cell>
          <cell r="C128" t="str">
            <v>鼎禄</v>
          </cell>
          <cell r="D128" t="str">
            <v>黄氏</v>
          </cell>
        </row>
        <row r="129">
          <cell r="A129" t="str">
            <v>M000149W01</v>
          </cell>
          <cell r="B129" t="str">
            <v>M000149</v>
          </cell>
          <cell r="C129" t="str">
            <v>鼎和</v>
          </cell>
          <cell r="D129" t="str">
            <v>刘氏</v>
          </cell>
        </row>
        <row r="130">
          <cell r="A130" t="str">
            <v>M000150W01</v>
          </cell>
          <cell r="B130" t="str">
            <v>M000150</v>
          </cell>
          <cell r="C130" t="str">
            <v>光迈</v>
          </cell>
          <cell r="D130" t="str">
            <v>杨氏</v>
          </cell>
        </row>
        <row r="131">
          <cell r="A131" t="str">
            <v>M000151W01</v>
          </cell>
          <cell r="B131" t="str">
            <v>M000151</v>
          </cell>
          <cell r="C131" t="str">
            <v>光元</v>
          </cell>
          <cell r="D131" t="str">
            <v>周氏</v>
          </cell>
        </row>
        <row r="132">
          <cell r="A132" t="str">
            <v>M000152W01</v>
          </cell>
          <cell r="B132" t="str">
            <v>M000152</v>
          </cell>
          <cell r="C132" t="str">
            <v>光达</v>
          </cell>
          <cell r="D132" t="str">
            <v>刘氏</v>
          </cell>
        </row>
        <row r="133">
          <cell r="A133" t="str">
            <v>M000154W01</v>
          </cell>
          <cell r="B133" t="str">
            <v>M000154</v>
          </cell>
          <cell r="C133" t="str">
            <v>光统</v>
          </cell>
          <cell r="D133" t="str">
            <v>唐氏</v>
          </cell>
        </row>
        <row r="134">
          <cell r="A134" t="str">
            <v>M000155W01</v>
          </cell>
          <cell r="B134" t="str">
            <v>M000155</v>
          </cell>
          <cell r="C134" t="str">
            <v>光绥</v>
          </cell>
          <cell r="D134" t="str">
            <v>肖氏</v>
          </cell>
        </row>
        <row r="135">
          <cell r="A135" t="str">
            <v>M000156W01</v>
          </cell>
          <cell r="B135" t="str">
            <v>M000156</v>
          </cell>
          <cell r="C135" t="str">
            <v>光辉</v>
          </cell>
          <cell r="D135" t="str">
            <v>朱氏</v>
          </cell>
        </row>
        <row r="136">
          <cell r="A136" t="str">
            <v>M000157W01</v>
          </cell>
          <cell r="B136" t="str">
            <v>M000157</v>
          </cell>
          <cell r="C136" t="str">
            <v>锡元</v>
          </cell>
          <cell r="D136" t="str">
            <v>陈氏</v>
          </cell>
        </row>
        <row r="137">
          <cell r="A137" t="str">
            <v>M000158W01</v>
          </cell>
          <cell r="B137" t="str">
            <v>M000158</v>
          </cell>
          <cell r="C137" t="str">
            <v>光建</v>
          </cell>
          <cell r="D137" t="str">
            <v>杨氏</v>
          </cell>
        </row>
        <row r="138">
          <cell r="A138" t="str">
            <v>M000159W01</v>
          </cell>
          <cell r="B138" t="str">
            <v>M000159</v>
          </cell>
          <cell r="C138" t="str">
            <v>光迟</v>
          </cell>
          <cell r="D138" t="str">
            <v>某氏</v>
          </cell>
        </row>
        <row r="139">
          <cell r="A139" t="str">
            <v>M000160W01</v>
          </cell>
          <cell r="B139" t="str">
            <v>M000160</v>
          </cell>
          <cell r="C139" t="str">
            <v>光绸</v>
          </cell>
          <cell r="D139" t="str">
            <v>刘氏</v>
          </cell>
        </row>
        <row r="140">
          <cell r="A140" t="str">
            <v>M000160W02</v>
          </cell>
          <cell r="B140" t="str">
            <v>M000160</v>
          </cell>
          <cell r="C140" t="str">
            <v>光绸</v>
          </cell>
          <cell r="D140" t="str">
            <v>刘氏</v>
          </cell>
        </row>
        <row r="141">
          <cell r="A141" t="str">
            <v>M000161W01</v>
          </cell>
          <cell r="B141" t="str">
            <v>M000161</v>
          </cell>
          <cell r="C141" t="str">
            <v>光缙</v>
          </cell>
          <cell r="D141" t="str">
            <v>彭氏</v>
          </cell>
        </row>
        <row r="142">
          <cell r="A142" t="str">
            <v>M000161W02</v>
          </cell>
          <cell r="B142" t="str">
            <v>M000161</v>
          </cell>
          <cell r="C142" t="str">
            <v>光缙</v>
          </cell>
          <cell r="D142" t="str">
            <v>戴氏</v>
          </cell>
        </row>
        <row r="143">
          <cell r="A143" t="str">
            <v>M000161W03</v>
          </cell>
          <cell r="B143" t="str">
            <v>M000161</v>
          </cell>
          <cell r="C143" t="str">
            <v>光缙</v>
          </cell>
          <cell r="D143" t="str">
            <v>杨氏</v>
          </cell>
        </row>
        <row r="144">
          <cell r="A144" t="str">
            <v>M000162W01</v>
          </cell>
          <cell r="B144" t="str">
            <v>M000162</v>
          </cell>
          <cell r="C144" t="str">
            <v>光缨</v>
          </cell>
          <cell r="D144" t="str">
            <v>刘氏</v>
          </cell>
        </row>
        <row r="145">
          <cell r="A145" t="str">
            <v>M000163W01</v>
          </cell>
          <cell r="B145" t="str">
            <v>M000163</v>
          </cell>
          <cell r="C145" t="str">
            <v>光绨</v>
          </cell>
          <cell r="D145" t="str">
            <v>杨氏</v>
          </cell>
        </row>
        <row r="146">
          <cell r="A146" t="str">
            <v>M000164W01</v>
          </cell>
          <cell r="B146" t="str">
            <v>M000164</v>
          </cell>
          <cell r="C146" t="str">
            <v>光绅</v>
          </cell>
          <cell r="D146" t="str">
            <v>彭氏</v>
          </cell>
        </row>
        <row r="147">
          <cell r="A147" t="str">
            <v>M000165W01</v>
          </cell>
          <cell r="B147" t="str">
            <v>M000165</v>
          </cell>
          <cell r="C147" t="str">
            <v>光绣</v>
          </cell>
          <cell r="D147" t="str">
            <v>肖氏</v>
          </cell>
        </row>
        <row r="148">
          <cell r="A148" t="str">
            <v>M000166W01</v>
          </cell>
          <cell r="B148" t="str">
            <v>M000166</v>
          </cell>
          <cell r="C148" t="str">
            <v>桂绥</v>
          </cell>
          <cell r="D148" t="str">
            <v>旷氏</v>
          </cell>
        </row>
        <row r="149">
          <cell r="A149" t="str">
            <v>M000169W01</v>
          </cell>
          <cell r="B149" t="str">
            <v>M000169</v>
          </cell>
          <cell r="C149" t="str">
            <v>光兴</v>
          </cell>
          <cell r="D149" t="str">
            <v>龙氏</v>
          </cell>
        </row>
        <row r="150">
          <cell r="A150" t="str">
            <v>M000169W02</v>
          </cell>
          <cell r="B150" t="str">
            <v>M000169</v>
          </cell>
          <cell r="C150" t="str">
            <v>光兴</v>
          </cell>
          <cell r="D150" t="str">
            <v>龙氏</v>
          </cell>
        </row>
        <row r="151">
          <cell r="A151" t="str">
            <v>M000170W01</v>
          </cell>
          <cell r="B151" t="str">
            <v>M000170</v>
          </cell>
          <cell r="C151" t="str">
            <v>光纶</v>
          </cell>
          <cell r="D151" t="str">
            <v>陈氏</v>
          </cell>
        </row>
        <row r="152">
          <cell r="A152" t="str">
            <v>M000170W02</v>
          </cell>
          <cell r="B152" t="str">
            <v>M000170</v>
          </cell>
          <cell r="C152" t="str">
            <v>光纶</v>
          </cell>
          <cell r="D152" t="str">
            <v>周氏</v>
          </cell>
        </row>
        <row r="153">
          <cell r="A153" t="str">
            <v>M000173W01</v>
          </cell>
          <cell r="B153" t="str">
            <v>M000173</v>
          </cell>
          <cell r="C153" t="str">
            <v>光缃</v>
          </cell>
          <cell r="D153" t="str">
            <v>刘氏</v>
          </cell>
        </row>
        <row r="154">
          <cell r="A154" t="str">
            <v>M000173W02</v>
          </cell>
          <cell r="B154" t="str">
            <v>M000173</v>
          </cell>
          <cell r="C154" t="str">
            <v>光缃</v>
          </cell>
          <cell r="D154" t="str">
            <v>薛氏</v>
          </cell>
        </row>
        <row r="155">
          <cell r="A155" t="str">
            <v>M000174W01</v>
          </cell>
          <cell r="B155" t="str">
            <v>M000174</v>
          </cell>
          <cell r="C155" t="str">
            <v>光纪</v>
          </cell>
          <cell r="D155" t="str">
            <v>王氏</v>
          </cell>
        </row>
        <row r="156">
          <cell r="A156" t="str">
            <v>M000175W01</v>
          </cell>
          <cell r="B156" t="str">
            <v>M000175</v>
          </cell>
          <cell r="C156" t="str">
            <v>光绂</v>
          </cell>
          <cell r="D156" t="str">
            <v>刘氏</v>
          </cell>
        </row>
        <row r="157">
          <cell r="A157" t="str">
            <v>M000176W01</v>
          </cell>
          <cell r="B157" t="str">
            <v>M000176</v>
          </cell>
          <cell r="C157" t="str">
            <v>光絧</v>
          </cell>
          <cell r="D157" t="str">
            <v>王氏</v>
          </cell>
        </row>
        <row r="158">
          <cell r="A158" t="str">
            <v>M000177W01</v>
          </cell>
          <cell r="B158" t="str">
            <v>M000177</v>
          </cell>
          <cell r="C158" t="str">
            <v>光绪</v>
          </cell>
          <cell r="D158" t="str">
            <v>刘氏</v>
          </cell>
        </row>
        <row r="159">
          <cell r="A159" t="str">
            <v>M000180W01</v>
          </cell>
          <cell r="B159" t="str">
            <v>M000180</v>
          </cell>
          <cell r="C159" t="str">
            <v>新禧</v>
          </cell>
          <cell r="D159" t="str">
            <v>刘氏</v>
          </cell>
        </row>
        <row r="160">
          <cell r="A160" t="str">
            <v>M000181W01</v>
          </cell>
          <cell r="B160" t="str">
            <v>M000181</v>
          </cell>
          <cell r="C160" t="str">
            <v>蒲元</v>
          </cell>
          <cell r="D160" t="str">
            <v>唐氏</v>
          </cell>
        </row>
        <row r="161">
          <cell r="A161" t="str">
            <v>M000181W02</v>
          </cell>
          <cell r="B161" t="str">
            <v>M000181</v>
          </cell>
          <cell r="C161" t="str">
            <v>蒲元</v>
          </cell>
          <cell r="D161" t="str">
            <v>刘氏</v>
          </cell>
        </row>
        <row r="162">
          <cell r="A162" t="str">
            <v>M000182W01</v>
          </cell>
          <cell r="B162" t="str">
            <v>M000182</v>
          </cell>
          <cell r="C162" t="str">
            <v>守贶</v>
          </cell>
          <cell r="D162" t="str">
            <v>李氏</v>
          </cell>
        </row>
        <row r="163">
          <cell r="A163" t="str">
            <v>M000183W01</v>
          </cell>
          <cell r="B163" t="str">
            <v>M000183</v>
          </cell>
          <cell r="C163" t="str">
            <v>景福</v>
          </cell>
          <cell r="D163" t="str">
            <v>黄氏</v>
          </cell>
        </row>
        <row r="164">
          <cell r="A164" t="str">
            <v>M000184W01</v>
          </cell>
          <cell r="B164" t="str">
            <v>M000184</v>
          </cell>
          <cell r="C164" t="str">
            <v>宣鹤</v>
          </cell>
          <cell r="D164" t="str">
            <v>彭氏</v>
          </cell>
        </row>
        <row r="165">
          <cell r="A165" t="str">
            <v>M000187W01</v>
          </cell>
          <cell r="B165" t="str">
            <v>M000187</v>
          </cell>
          <cell r="C165" t="str">
            <v>宗干</v>
          </cell>
          <cell r="D165" t="str">
            <v>肖氏</v>
          </cell>
        </row>
        <row r="166">
          <cell r="A166" t="str">
            <v>M000187W02</v>
          </cell>
          <cell r="B166" t="str">
            <v>M000187</v>
          </cell>
          <cell r="C166" t="str">
            <v>宗干</v>
          </cell>
          <cell r="D166" t="str">
            <v>刘氏</v>
          </cell>
        </row>
        <row r="167">
          <cell r="A167" t="str">
            <v>M000188W01</v>
          </cell>
          <cell r="B167" t="str">
            <v>M000188</v>
          </cell>
          <cell r="C167" t="str">
            <v>庆福</v>
          </cell>
          <cell r="D167" t="str">
            <v>彭氏</v>
          </cell>
        </row>
        <row r="168">
          <cell r="A168" t="str">
            <v>M000190W01</v>
          </cell>
          <cell r="B168" t="str">
            <v>M000190</v>
          </cell>
          <cell r="C168" t="str">
            <v>庆卓</v>
          </cell>
          <cell r="D168" t="str">
            <v>刘氏</v>
          </cell>
        </row>
        <row r="169">
          <cell r="A169" t="str">
            <v>M000191W01</v>
          </cell>
          <cell r="B169" t="str">
            <v>M000191</v>
          </cell>
          <cell r="C169" t="str">
            <v>长福</v>
          </cell>
          <cell r="D169" t="str">
            <v>某氏</v>
          </cell>
        </row>
        <row r="170">
          <cell r="A170" t="str">
            <v>M000192W01</v>
          </cell>
          <cell r="B170" t="str">
            <v>M000192</v>
          </cell>
          <cell r="C170" t="str">
            <v>庆春</v>
          </cell>
          <cell r="D170" t="str">
            <v>朱氏</v>
          </cell>
        </row>
        <row r="171">
          <cell r="A171" t="str">
            <v>M000195W01</v>
          </cell>
          <cell r="B171" t="str">
            <v>M000195</v>
          </cell>
          <cell r="C171" t="str">
            <v>庆宗</v>
          </cell>
          <cell r="D171" t="str">
            <v>刘氏</v>
          </cell>
        </row>
        <row r="172">
          <cell r="A172" t="str">
            <v>M000197W01</v>
          </cell>
          <cell r="B172" t="str">
            <v>M000197</v>
          </cell>
          <cell r="C172" t="str">
            <v>继宗</v>
          </cell>
          <cell r="D172" t="str">
            <v>周氏</v>
          </cell>
        </row>
        <row r="173">
          <cell r="A173" t="str">
            <v>M000198W01</v>
          </cell>
          <cell r="B173" t="str">
            <v>M000198</v>
          </cell>
          <cell r="C173" t="str">
            <v>天佑</v>
          </cell>
          <cell r="D173" t="str">
            <v>刘氏</v>
          </cell>
        </row>
        <row r="174">
          <cell r="A174" t="str">
            <v>M000199W01</v>
          </cell>
          <cell r="B174" t="str">
            <v>M000199</v>
          </cell>
          <cell r="C174" t="str">
            <v>天成</v>
          </cell>
          <cell r="D174" t="str">
            <v>彭氏</v>
          </cell>
        </row>
        <row r="175">
          <cell r="A175" t="str">
            <v>M000206W01</v>
          </cell>
          <cell r="B175" t="str">
            <v>M000206</v>
          </cell>
          <cell r="C175" t="str">
            <v>鳌</v>
          </cell>
          <cell r="D175" t="str">
            <v>谭氏</v>
          </cell>
        </row>
        <row r="176">
          <cell r="A176" t="str">
            <v>M000206W02</v>
          </cell>
          <cell r="B176" t="str">
            <v>M000206</v>
          </cell>
          <cell r="C176" t="str">
            <v>鳌</v>
          </cell>
          <cell r="D176" t="str">
            <v>欧阳氏</v>
          </cell>
        </row>
        <row r="177">
          <cell r="A177" t="str">
            <v>M000208W01</v>
          </cell>
          <cell r="B177" t="str">
            <v>M000208</v>
          </cell>
          <cell r="C177" t="str">
            <v>天禄</v>
          </cell>
          <cell r="D177" t="str">
            <v>王氏</v>
          </cell>
        </row>
        <row r="178">
          <cell r="A178" t="str">
            <v>M000208W02</v>
          </cell>
          <cell r="B178" t="str">
            <v>M000208</v>
          </cell>
          <cell r="C178" t="str">
            <v>天禄</v>
          </cell>
          <cell r="D178" t="str">
            <v>李氏</v>
          </cell>
        </row>
        <row r="179">
          <cell r="A179" t="str">
            <v>M000211W01</v>
          </cell>
          <cell r="B179" t="str">
            <v>M000211</v>
          </cell>
          <cell r="C179" t="str">
            <v>天寿</v>
          </cell>
          <cell r="D179" t="str">
            <v>聂氏</v>
          </cell>
        </row>
        <row r="180">
          <cell r="A180" t="str">
            <v>M000212W01</v>
          </cell>
          <cell r="B180" t="str">
            <v>M000212</v>
          </cell>
          <cell r="C180" t="str">
            <v>评紫</v>
          </cell>
          <cell r="D180" t="str">
            <v>杨氏</v>
          </cell>
        </row>
        <row r="181">
          <cell r="A181" t="str">
            <v>M000213W01</v>
          </cell>
          <cell r="B181" t="str">
            <v>M000213</v>
          </cell>
          <cell r="C181" t="str">
            <v>绳祖</v>
          </cell>
          <cell r="D181" t="str">
            <v>黄氏</v>
          </cell>
        </row>
        <row r="182">
          <cell r="A182" t="str">
            <v>M000215W01</v>
          </cell>
          <cell r="B182" t="str">
            <v>M000215</v>
          </cell>
          <cell r="C182" t="str">
            <v>宗善</v>
          </cell>
          <cell r="D182" t="str">
            <v>杨氏</v>
          </cell>
        </row>
        <row r="183">
          <cell r="A183" t="str">
            <v>M000216W01</v>
          </cell>
          <cell r="B183" t="str">
            <v>M000216</v>
          </cell>
          <cell r="C183" t="str">
            <v>宗舜</v>
          </cell>
          <cell r="D183" t="str">
            <v>杨氏</v>
          </cell>
        </row>
        <row r="184">
          <cell r="A184" t="str">
            <v>M000217W01</v>
          </cell>
          <cell r="B184" t="str">
            <v>M000217</v>
          </cell>
          <cell r="C184" t="str">
            <v>宗仁</v>
          </cell>
          <cell r="D184" t="str">
            <v>杨氏</v>
          </cell>
        </row>
        <row r="185">
          <cell r="A185" t="str">
            <v>M000218W01</v>
          </cell>
          <cell r="B185" t="str">
            <v>M000218</v>
          </cell>
          <cell r="C185" t="str">
            <v>宗贤</v>
          </cell>
          <cell r="D185" t="str">
            <v>刘氏</v>
          </cell>
        </row>
        <row r="186">
          <cell r="A186" t="str">
            <v>M000219W01</v>
          </cell>
          <cell r="B186" t="str">
            <v>M000219</v>
          </cell>
          <cell r="C186" t="str">
            <v>宗盛</v>
          </cell>
          <cell r="D186" t="str">
            <v>刘氏</v>
          </cell>
        </row>
        <row r="187">
          <cell r="A187" t="str">
            <v>M000220W01</v>
          </cell>
          <cell r="B187" t="str">
            <v>M000220</v>
          </cell>
          <cell r="C187" t="str">
            <v>宗文</v>
          </cell>
          <cell r="D187" t="str">
            <v>陈氏</v>
          </cell>
        </row>
        <row r="188">
          <cell r="A188" t="str">
            <v>M000224W01</v>
          </cell>
          <cell r="B188" t="str">
            <v>M000224</v>
          </cell>
          <cell r="C188" t="str">
            <v>遂保</v>
          </cell>
          <cell r="D188" t="str">
            <v>某氏</v>
          </cell>
        </row>
        <row r="189">
          <cell r="A189" t="str">
            <v>M000225W01</v>
          </cell>
          <cell r="B189" t="str">
            <v>M000225</v>
          </cell>
          <cell r="C189" t="str">
            <v>逑保</v>
          </cell>
          <cell r="D189" t="str">
            <v>刘氏</v>
          </cell>
        </row>
        <row r="190">
          <cell r="A190" t="str">
            <v>M000226W01</v>
          </cell>
          <cell r="B190" t="str">
            <v>M000226</v>
          </cell>
          <cell r="C190" t="str">
            <v>退保</v>
          </cell>
          <cell r="D190" t="str">
            <v>刘氏</v>
          </cell>
        </row>
        <row r="191">
          <cell r="A191" t="str">
            <v>M000230W01</v>
          </cell>
          <cell r="B191" t="str">
            <v>M000230</v>
          </cell>
          <cell r="C191" t="str">
            <v>应昭</v>
          </cell>
          <cell r="D191" t="str">
            <v>彭氏</v>
          </cell>
        </row>
        <row r="192">
          <cell r="A192" t="str">
            <v>M000232W01</v>
          </cell>
          <cell r="B192" t="str">
            <v>M000232</v>
          </cell>
          <cell r="C192" t="str">
            <v>应奇</v>
          </cell>
          <cell r="D192" t="str">
            <v>欧阳氏</v>
          </cell>
        </row>
        <row r="193">
          <cell r="A193" t="str">
            <v>M000233W01</v>
          </cell>
          <cell r="B193" t="str">
            <v>M000233</v>
          </cell>
          <cell r="C193" t="str">
            <v>应丕</v>
          </cell>
          <cell r="D193" t="str">
            <v>陈氏</v>
          </cell>
        </row>
        <row r="194">
          <cell r="A194" t="str">
            <v>M000235W01</v>
          </cell>
          <cell r="B194" t="str">
            <v>M000235</v>
          </cell>
          <cell r="C194" t="str">
            <v>应标</v>
          </cell>
          <cell r="D194" t="str">
            <v>彭氏</v>
          </cell>
        </row>
        <row r="195">
          <cell r="A195" t="str">
            <v>M000236W01</v>
          </cell>
          <cell r="B195" t="str">
            <v>M000236</v>
          </cell>
          <cell r="C195" t="str">
            <v>应柱</v>
          </cell>
          <cell r="D195" t="str">
            <v>刘氏</v>
          </cell>
        </row>
        <row r="196">
          <cell r="A196" t="str">
            <v>M000244W01</v>
          </cell>
          <cell r="B196" t="str">
            <v>M000244</v>
          </cell>
          <cell r="C196" t="str">
            <v>定元</v>
          </cell>
          <cell r="D196" t="str">
            <v>尹氏</v>
          </cell>
        </row>
        <row r="197">
          <cell r="A197" t="str">
            <v>M000245W01</v>
          </cell>
          <cell r="B197" t="str">
            <v>M000245</v>
          </cell>
          <cell r="C197" t="str">
            <v>宏茂</v>
          </cell>
          <cell r="D197" t="str">
            <v>刘氏</v>
          </cell>
        </row>
        <row r="198">
          <cell r="A198" t="str">
            <v>M000246W01</v>
          </cell>
          <cell r="B198" t="str">
            <v>M000246</v>
          </cell>
          <cell r="C198" t="str">
            <v>宏达</v>
          </cell>
          <cell r="D198" t="str">
            <v>刘氏</v>
          </cell>
        </row>
        <row r="199">
          <cell r="A199" t="str">
            <v>M000247W01</v>
          </cell>
          <cell r="B199" t="str">
            <v>M000247</v>
          </cell>
          <cell r="C199" t="str">
            <v>宏进</v>
          </cell>
          <cell r="D199" t="str">
            <v>刘氏</v>
          </cell>
        </row>
        <row r="200">
          <cell r="A200" t="str">
            <v>M000247W02</v>
          </cell>
          <cell r="B200" t="str">
            <v>M000247</v>
          </cell>
          <cell r="C200" t="str">
            <v>宏进</v>
          </cell>
          <cell r="D200" t="str">
            <v>彭氏</v>
          </cell>
        </row>
        <row r="201">
          <cell r="A201" t="str">
            <v>M000248W01</v>
          </cell>
          <cell r="B201" t="str">
            <v>M000248</v>
          </cell>
          <cell r="C201" t="str">
            <v>宏昌</v>
          </cell>
          <cell r="D201" t="str">
            <v>方氏</v>
          </cell>
        </row>
        <row r="202">
          <cell r="A202" t="str">
            <v>M000250W01</v>
          </cell>
          <cell r="B202" t="str">
            <v>M000250</v>
          </cell>
          <cell r="C202" t="str">
            <v>宏志</v>
          </cell>
          <cell r="D202" t="str">
            <v>肖氏</v>
          </cell>
        </row>
        <row r="203">
          <cell r="A203" t="str">
            <v>M000251W01</v>
          </cell>
          <cell r="B203" t="str">
            <v>M000251</v>
          </cell>
          <cell r="C203" t="str">
            <v>宏毅</v>
          </cell>
          <cell r="D203" t="str">
            <v>王氏</v>
          </cell>
        </row>
        <row r="204">
          <cell r="A204" t="str">
            <v>M000252W01</v>
          </cell>
          <cell r="B204" t="str">
            <v>M000252</v>
          </cell>
          <cell r="C204" t="str">
            <v>宏敬</v>
          </cell>
          <cell r="D204" t="str">
            <v>刘氏</v>
          </cell>
        </row>
        <row r="205">
          <cell r="A205" t="str">
            <v>M000253W01</v>
          </cell>
          <cell r="B205" t="str">
            <v>M000253</v>
          </cell>
          <cell r="C205" t="str">
            <v>宏泰</v>
          </cell>
          <cell r="D205" t="str">
            <v>刘氏</v>
          </cell>
        </row>
        <row r="206">
          <cell r="A206" t="str">
            <v>M000254W01</v>
          </cell>
          <cell r="B206" t="str">
            <v>M000254</v>
          </cell>
          <cell r="C206" t="str">
            <v>宏党</v>
          </cell>
          <cell r="D206" t="str">
            <v>刘氏</v>
          </cell>
        </row>
        <row r="207">
          <cell r="A207" t="str">
            <v>M000255W01</v>
          </cell>
          <cell r="B207" t="str">
            <v>M000255</v>
          </cell>
          <cell r="C207" t="str">
            <v>宏祥</v>
          </cell>
          <cell r="D207" t="str">
            <v>唐氏</v>
          </cell>
        </row>
        <row r="208">
          <cell r="A208" t="str">
            <v>M000257W01</v>
          </cell>
          <cell r="B208" t="str">
            <v>M000257</v>
          </cell>
          <cell r="C208" t="str">
            <v>宏材</v>
          </cell>
          <cell r="D208" t="str">
            <v>刘氏</v>
          </cell>
        </row>
        <row r="209">
          <cell r="A209" t="str">
            <v>M000259W01</v>
          </cell>
          <cell r="B209" t="str">
            <v>M000259</v>
          </cell>
          <cell r="C209" t="str">
            <v>法耀</v>
          </cell>
          <cell r="D209" t="str">
            <v>辛氏</v>
          </cell>
        </row>
        <row r="210">
          <cell r="A210" t="str">
            <v>M000259W02</v>
          </cell>
          <cell r="B210" t="str">
            <v>M000259</v>
          </cell>
          <cell r="C210" t="str">
            <v>法耀</v>
          </cell>
          <cell r="D210" t="str">
            <v>周氏</v>
          </cell>
        </row>
        <row r="211">
          <cell r="A211" t="str">
            <v>M000263W01</v>
          </cell>
          <cell r="B211" t="str">
            <v>M000263</v>
          </cell>
          <cell r="C211" t="str">
            <v>韩容</v>
          </cell>
          <cell r="D211" t="str">
            <v>鲁氏</v>
          </cell>
        </row>
        <row r="212">
          <cell r="A212" t="str">
            <v>M000267W01</v>
          </cell>
          <cell r="B212" t="str">
            <v>M000267</v>
          </cell>
          <cell r="C212" t="str">
            <v>宏宽</v>
          </cell>
          <cell r="D212" t="str">
            <v>王氏</v>
          </cell>
        </row>
        <row r="213">
          <cell r="A213" t="str">
            <v>M000268W01</v>
          </cell>
          <cell r="B213" t="str">
            <v>M000268</v>
          </cell>
          <cell r="C213" t="str">
            <v>宏魁</v>
          </cell>
          <cell r="D213" t="str">
            <v>王氏</v>
          </cell>
        </row>
        <row r="214">
          <cell r="A214" t="str">
            <v>M000269W01</v>
          </cell>
          <cell r="B214" t="str">
            <v>M000269</v>
          </cell>
          <cell r="C214" t="str">
            <v>宏训</v>
          </cell>
          <cell r="D214" t="str">
            <v>蘓氏</v>
          </cell>
        </row>
        <row r="215">
          <cell r="A215" t="str">
            <v>M000270W02</v>
          </cell>
          <cell r="B215" t="str">
            <v>M000270</v>
          </cell>
          <cell r="C215" t="str">
            <v>宏尚</v>
          </cell>
          <cell r="D215" t="str">
            <v>刘氏</v>
          </cell>
        </row>
        <row r="216">
          <cell r="A216" t="str">
            <v>M000273W01</v>
          </cell>
          <cell r="B216" t="str">
            <v>M000273</v>
          </cell>
          <cell r="C216" t="str">
            <v>肇炳</v>
          </cell>
          <cell r="D216" t="str">
            <v>彭氏</v>
          </cell>
        </row>
        <row r="217">
          <cell r="A217" t="str">
            <v>M000276W01</v>
          </cell>
          <cell r="B217" t="str">
            <v>M000276</v>
          </cell>
          <cell r="C217" t="str">
            <v>肇昆</v>
          </cell>
          <cell r="D217" t="str">
            <v>欧氏</v>
          </cell>
        </row>
        <row r="218">
          <cell r="A218" t="str">
            <v>M000279W01</v>
          </cell>
          <cell r="B218" t="str">
            <v>M000279</v>
          </cell>
          <cell r="C218" t="str">
            <v>宏麟</v>
          </cell>
          <cell r="D218" t="str">
            <v>唐氏</v>
          </cell>
        </row>
        <row r="219">
          <cell r="A219" t="str">
            <v>M000280W01</v>
          </cell>
          <cell r="B219" t="str">
            <v>M000280</v>
          </cell>
          <cell r="C219" t="str">
            <v>宏发</v>
          </cell>
          <cell r="D219" t="str">
            <v>孙氏</v>
          </cell>
        </row>
        <row r="220">
          <cell r="A220" t="str">
            <v>M000282W01</v>
          </cell>
          <cell r="B220" t="str">
            <v>M000282</v>
          </cell>
          <cell r="C220" t="str">
            <v>宏位</v>
          </cell>
          <cell r="D220" t="str">
            <v>龙氏</v>
          </cell>
        </row>
        <row r="221">
          <cell r="A221" t="str">
            <v>M000289W01</v>
          </cell>
          <cell r="B221" t="str">
            <v>M000289</v>
          </cell>
          <cell r="C221" t="str">
            <v>培兴</v>
          </cell>
          <cell r="D221" t="str">
            <v>刘氏</v>
          </cell>
        </row>
        <row r="222">
          <cell r="A222" t="str">
            <v>M000291W01</v>
          </cell>
          <cell r="B222" t="str">
            <v>M000291</v>
          </cell>
          <cell r="C222" t="str">
            <v>宏温</v>
          </cell>
          <cell r="D222" t="str">
            <v>彭氏</v>
          </cell>
        </row>
        <row r="223">
          <cell r="A223" t="str">
            <v>M000295W01</v>
          </cell>
          <cell r="B223" t="str">
            <v>M000295</v>
          </cell>
          <cell r="C223" t="str">
            <v>宏禄</v>
          </cell>
          <cell r="D223" t="str">
            <v>彭氏</v>
          </cell>
        </row>
        <row r="224">
          <cell r="A224" t="str">
            <v>M000296W01</v>
          </cell>
          <cell r="B224" t="str">
            <v>M000296</v>
          </cell>
          <cell r="C224" t="str">
            <v>垂勲</v>
          </cell>
          <cell r="D224" t="str">
            <v>李氏</v>
          </cell>
        </row>
        <row r="225">
          <cell r="A225" t="str">
            <v>M000299W01</v>
          </cell>
          <cell r="B225" t="str">
            <v>M000299</v>
          </cell>
          <cell r="C225" t="str">
            <v>垂德</v>
          </cell>
          <cell r="D225" t="str">
            <v>邓氏</v>
          </cell>
        </row>
        <row r="226">
          <cell r="A226" t="str">
            <v>M000301W01</v>
          </cell>
          <cell r="B226" t="str">
            <v>M000301</v>
          </cell>
          <cell r="C226" t="str">
            <v>垂冠</v>
          </cell>
          <cell r="D226" t="str">
            <v>刘氏</v>
          </cell>
        </row>
        <row r="227">
          <cell r="A227" t="str">
            <v>M000306W01</v>
          </cell>
          <cell r="B227" t="str">
            <v>M000306</v>
          </cell>
          <cell r="C227" t="str">
            <v>垂裕</v>
          </cell>
          <cell r="D227" t="str">
            <v>肖氏</v>
          </cell>
        </row>
        <row r="228">
          <cell r="A228" t="str">
            <v>M000307W01</v>
          </cell>
          <cell r="B228" t="str">
            <v>M000307</v>
          </cell>
          <cell r="C228" t="str">
            <v>垂斌</v>
          </cell>
          <cell r="D228" t="str">
            <v>刘氏</v>
          </cell>
        </row>
        <row r="229">
          <cell r="A229" t="str">
            <v>M000311W01</v>
          </cell>
          <cell r="B229" t="str">
            <v>M000311</v>
          </cell>
          <cell r="C229" t="str">
            <v>垂诘</v>
          </cell>
          <cell r="D229" t="str">
            <v>李氏</v>
          </cell>
        </row>
        <row r="230">
          <cell r="A230" t="str">
            <v>M000319W01</v>
          </cell>
          <cell r="B230" t="str">
            <v>M000319</v>
          </cell>
          <cell r="C230" t="str">
            <v>郁才</v>
          </cell>
          <cell r="D230" t="str">
            <v>陈氏</v>
          </cell>
        </row>
        <row r="231">
          <cell r="A231" t="str">
            <v>M000322W01</v>
          </cell>
          <cell r="B231" t="str">
            <v>M000322</v>
          </cell>
          <cell r="C231" t="str">
            <v>垂辅</v>
          </cell>
          <cell r="D231" t="str">
            <v>孙氏</v>
          </cell>
        </row>
        <row r="232">
          <cell r="A232" t="str">
            <v>M000325W01</v>
          </cell>
          <cell r="B232" t="str">
            <v>M000325</v>
          </cell>
          <cell r="C232" t="str">
            <v>垂簠</v>
          </cell>
          <cell r="D232" t="str">
            <v>李氏</v>
          </cell>
        </row>
        <row r="233">
          <cell r="A233" t="str">
            <v>M000329W01</v>
          </cell>
          <cell r="B233" t="str">
            <v>M000329</v>
          </cell>
          <cell r="C233" t="str">
            <v>垂瑜</v>
          </cell>
          <cell r="D233" t="str">
            <v>刘氏</v>
          </cell>
        </row>
        <row r="234">
          <cell r="A234" t="str">
            <v>M000330W01</v>
          </cell>
          <cell r="B234" t="str">
            <v>M000330</v>
          </cell>
          <cell r="C234" t="str">
            <v>垂珅</v>
          </cell>
          <cell r="D234" t="str">
            <v>刘氏</v>
          </cell>
        </row>
        <row r="235">
          <cell r="A235" t="str">
            <v>M000339W01</v>
          </cell>
          <cell r="B235" t="str">
            <v>M000339</v>
          </cell>
          <cell r="C235" t="str">
            <v>页全</v>
          </cell>
          <cell r="D235" t="str">
            <v>岩氏春娘</v>
          </cell>
        </row>
        <row r="236">
          <cell r="A236" t="str">
            <v>M000340W01</v>
          </cell>
          <cell r="B236" t="str">
            <v>M000340</v>
          </cell>
          <cell r="C236" t="str">
            <v>苏全</v>
          </cell>
          <cell r="D236" t="str">
            <v>刘氏五娘</v>
          </cell>
        </row>
        <row r="237">
          <cell r="A237" t="str">
            <v>M000344W01</v>
          </cell>
          <cell r="B237" t="str">
            <v>M000344</v>
          </cell>
          <cell r="C237" t="str">
            <v>明照</v>
          </cell>
          <cell r="D237" t="str">
            <v>刘氏占娘</v>
          </cell>
        </row>
        <row r="238">
          <cell r="A238" t="str">
            <v>M000350W01</v>
          </cell>
          <cell r="B238" t="str">
            <v>M000350</v>
          </cell>
          <cell r="C238" t="str">
            <v>完秀</v>
          </cell>
          <cell r="D238" t="str">
            <v>吴氏长娘</v>
          </cell>
        </row>
        <row r="239">
          <cell r="A239" t="str">
            <v>M000352W01</v>
          </cell>
          <cell r="B239" t="str">
            <v>M000352</v>
          </cell>
          <cell r="C239" t="str">
            <v>祥秀</v>
          </cell>
          <cell r="D239" t="str">
            <v>左氏细娘</v>
          </cell>
        </row>
        <row r="240">
          <cell r="A240" t="str">
            <v>M000356W01</v>
          </cell>
          <cell r="B240" t="str">
            <v>M000356</v>
          </cell>
          <cell r="C240" t="str">
            <v>志秀</v>
          </cell>
          <cell r="D240" t="str">
            <v>肖氏秋娘</v>
          </cell>
        </row>
        <row r="241">
          <cell r="A241" t="str">
            <v>M000360W01</v>
          </cell>
          <cell r="B241" t="str">
            <v>M000360</v>
          </cell>
          <cell r="C241" t="str">
            <v>锦连</v>
          </cell>
          <cell r="D241" t="str">
            <v>彭清珠</v>
          </cell>
        </row>
        <row r="242">
          <cell r="A242" t="str">
            <v>M000361W01</v>
          </cell>
          <cell r="B242" t="str">
            <v>M000361</v>
          </cell>
          <cell r="C242" t="str">
            <v>雨峯</v>
          </cell>
          <cell r="D242" t="str">
            <v>刘氏</v>
          </cell>
        </row>
        <row r="243">
          <cell r="A243" t="str">
            <v>M000362W01</v>
          </cell>
          <cell r="B243" t="str">
            <v>M000362</v>
          </cell>
          <cell r="C243" t="str">
            <v>七秀</v>
          </cell>
          <cell r="D243" t="str">
            <v>罗康连</v>
          </cell>
        </row>
        <row r="244">
          <cell r="A244" t="str">
            <v>M000363W01</v>
          </cell>
          <cell r="B244" t="str">
            <v>M000363</v>
          </cell>
          <cell r="C244" t="str">
            <v>八秀</v>
          </cell>
          <cell r="D244" t="str">
            <v>李雪英</v>
          </cell>
        </row>
        <row r="245">
          <cell r="A245" t="str">
            <v>M000364W01</v>
          </cell>
          <cell r="B245" t="str">
            <v>M000364</v>
          </cell>
          <cell r="C245" t="str">
            <v>龙秀</v>
          </cell>
          <cell r="D245" t="str">
            <v>刘龙英</v>
          </cell>
        </row>
        <row r="246">
          <cell r="A246" t="str">
            <v>M000367W01</v>
          </cell>
          <cell r="B246" t="str">
            <v>M000367</v>
          </cell>
          <cell r="C246" t="str">
            <v>明兴</v>
          </cell>
          <cell r="D246" t="str">
            <v>刘氏回娘</v>
          </cell>
        </row>
        <row r="247">
          <cell r="A247" t="str">
            <v>M000368W01</v>
          </cell>
          <cell r="B247" t="str">
            <v>M000368</v>
          </cell>
          <cell r="C247" t="str">
            <v>桂兴</v>
          </cell>
          <cell r="D247" t="str">
            <v>王氏秀英</v>
          </cell>
        </row>
        <row r="248">
          <cell r="A248" t="str">
            <v>M000369W01</v>
          </cell>
          <cell r="B248" t="str">
            <v>M000369</v>
          </cell>
          <cell r="C248" t="str">
            <v>全兴</v>
          </cell>
          <cell r="D248" t="str">
            <v>张氏书珠</v>
          </cell>
        </row>
        <row r="249">
          <cell r="A249" t="str">
            <v>M000371W01</v>
          </cell>
          <cell r="B249" t="str">
            <v>M000371</v>
          </cell>
          <cell r="C249" t="str">
            <v>玉兴</v>
          </cell>
          <cell r="D249" t="str">
            <v>旷氏掌娘</v>
          </cell>
        </row>
        <row r="250">
          <cell r="A250" t="str">
            <v>M000373W01</v>
          </cell>
          <cell r="B250" t="str">
            <v>M000373</v>
          </cell>
          <cell r="C250" t="str">
            <v>宜凤</v>
          </cell>
          <cell r="D250" t="str">
            <v>古家</v>
          </cell>
        </row>
        <row r="251">
          <cell r="A251" t="str">
            <v>M000378W01</v>
          </cell>
          <cell r="B251" t="str">
            <v>M000378</v>
          </cell>
          <cell r="C251" t="str">
            <v>圣兴</v>
          </cell>
          <cell r="D251" t="str">
            <v>王氏全娘</v>
          </cell>
        </row>
        <row r="252">
          <cell r="A252" t="str">
            <v>M000381W01</v>
          </cell>
          <cell r="B252" t="str">
            <v>M000381</v>
          </cell>
          <cell r="C252" t="str">
            <v>佑兴</v>
          </cell>
          <cell r="D252" t="str">
            <v>左积英</v>
          </cell>
        </row>
        <row r="253">
          <cell r="A253" t="str">
            <v>M000382W01</v>
          </cell>
          <cell r="B253" t="str">
            <v>M000382</v>
          </cell>
          <cell r="C253" t="str">
            <v>可兴</v>
          </cell>
          <cell r="D253" t="str">
            <v>王春姬</v>
          </cell>
        </row>
        <row r="254">
          <cell r="A254" t="str">
            <v>M000383W01</v>
          </cell>
          <cell r="B254" t="str">
            <v>M000383</v>
          </cell>
          <cell r="C254" t="str">
            <v>裕才</v>
          </cell>
          <cell r="D254" t="str">
            <v>刘氏招娘</v>
          </cell>
        </row>
        <row r="255">
          <cell r="A255" t="str">
            <v>M000384W01</v>
          </cell>
          <cell r="B255" t="str">
            <v>M000384</v>
          </cell>
          <cell r="C255" t="str">
            <v>东顺</v>
          </cell>
          <cell r="D255" t="str">
            <v>田心</v>
          </cell>
        </row>
        <row r="256">
          <cell r="A256" t="str">
            <v>M000385W01</v>
          </cell>
          <cell r="B256" t="str">
            <v>M000385</v>
          </cell>
          <cell r="C256" t="str">
            <v>福顺</v>
          </cell>
          <cell r="D256" t="str">
            <v>刘氏</v>
          </cell>
        </row>
        <row r="257">
          <cell r="A257" t="str">
            <v>M000387W01</v>
          </cell>
          <cell r="B257" t="str">
            <v>M000387</v>
          </cell>
          <cell r="C257" t="str">
            <v>邦顺</v>
          </cell>
          <cell r="D257" t="str">
            <v>刘转</v>
          </cell>
        </row>
        <row r="258">
          <cell r="A258" t="str">
            <v>M000388W01</v>
          </cell>
          <cell r="B258" t="str">
            <v>M000388</v>
          </cell>
          <cell r="C258" t="str">
            <v>长兴</v>
          </cell>
          <cell r="D258" t="str">
            <v>刘金</v>
          </cell>
        </row>
        <row r="259">
          <cell r="A259" t="str">
            <v>M000389W01</v>
          </cell>
          <cell r="B259" t="str">
            <v>M000389</v>
          </cell>
          <cell r="C259" t="str">
            <v>顺兴</v>
          </cell>
          <cell r="D259" t="str">
            <v>彭黄英</v>
          </cell>
        </row>
        <row r="260">
          <cell r="A260" t="str">
            <v>M000391W01</v>
          </cell>
          <cell r="B260" t="str">
            <v>M000391</v>
          </cell>
          <cell r="C260" t="str">
            <v>乐香</v>
          </cell>
          <cell r="D260" t="str">
            <v>张明英</v>
          </cell>
        </row>
        <row r="261">
          <cell r="A261" t="str">
            <v>M000392W01</v>
          </cell>
          <cell r="B261" t="str">
            <v>M000392</v>
          </cell>
          <cell r="C261" t="str">
            <v>记香</v>
          </cell>
          <cell r="D261" t="str">
            <v>活英</v>
          </cell>
        </row>
        <row r="262">
          <cell r="A262" t="str">
            <v>M000393W01</v>
          </cell>
          <cell r="B262" t="str">
            <v>M000393</v>
          </cell>
          <cell r="C262" t="str">
            <v>冬香</v>
          </cell>
          <cell r="D262" t="str">
            <v>朱氏香英</v>
          </cell>
        </row>
        <row r="263">
          <cell r="A263" t="str">
            <v>M000396W01</v>
          </cell>
          <cell r="B263" t="str">
            <v>M000396</v>
          </cell>
          <cell r="C263" t="str">
            <v>建香</v>
          </cell>
          <cell r="D263" t="str">
            <v>朱书珠</v>
          </cell>
        </row>
        <row r="264">
          <cell r="A264" t="str">
            <v>M000397W01</v>
          </cell>
          <cell r="B264" t="str">
            <v>M000397</v>
          </cell>
          <cell r="C264" t="str">
            <v>三香</v>
          </cell>
          <cell r="D264" t="str">
            <v>张良秀</v>
          </cell>
        </row>
        <row r="265">
          <cell r="A265" t="str">
            <v>M000398W01</v>
          </cell>
          <cell r="B265" t="str">
            <v>M000398</v>
          </cell>
          <cell r="C265" t="str">
            <v>要香</v>
          </cell>
          <cell r="D265" t="str">
            <v>朱金兰</v>
          </cell>
        </row>
        <row r="266">
          <cell r="A266" t="str">
            <v>M000399W01</v>
          </cell>
          <cell r="B266" t="str">
            <v>M000399</v>
          </cell>
          <cell r="C266" t="str">
            <v>安香</v>
          </cell>
          <cell r="D266" t="str">
            <v>丁徽丽</v>
          </cell>
        </row>
        <row r="267">
          <cell r="A267" t="str">
            <v>M000401W01</v>
          </cell>
          <cell r="B267" t="str">
            <v>M000401</v>
          </cell>
          <cell r="C267" t="str">
            <v>天香</v>
          </cell>
          <cell r="D267" t="str">
            <v>王回娥</v>
          </cell>
        </row>
        <row r="268">
          <cell r="A268" t="str">
            <v>M000407W01</v>
          </cell>
          <cell r="B268" t="str">
            <v>M000407</v>
          </cell>
          <cell r="C268" t="str">
            <v>富香</v>
          </cell>
          <cell r="D268" t="str">
            <v>彭艮兰</v>
          </cell>
        </row>
        <row r="269">
          <cell r="A269" t="str">
            <v>M000408W01</v>
          </cell>
          <cell r="B269" t="str">
            <v>M000408</v>
          </cell>
          <cell r="C269" t="str">
            <v>金香</v>
          </cell>
          <cell r="D269" t="str">
            <v>刘富媛</v>
          </cell>
        </row>
        <row r="270">
          <cell r="A270" t="str">
            <v>M000409W01</v>
          </cell>
          <cell r="B270" t="str">
            <v>M000409</v>
          </cell>
          <cell r="C270" t="str">
            <v>得香</v>
          </cell>
          <cell r="D270" t="str">
            <v>朱掌英</v>
          </cell>
        </row>
        <row r="271">
          <cell r="A271" t="str">
            <v>M000412W01</v>
          </cell>
          <cell r="B271" t="str">
            <v>M000412</v>
          </cell>
          <cell r="C271" t="str">
            <v>清香</v>
          </cell>
          <cell r="D271" t="str">
            <v>彭益德</v>
          </cell>
        </row>
        <row r="272">
          <cell r="A272" t="str">
            <v>M000413W01</v>
          </cell>
          <cell r="B272" t="str">
            <v>M000413</v>
          </cell>
          <cell r="C272" t="str">
            <v>仲香</v>
          </cell>
          <cell r="D272" t="str">
            <v>唐富媛</v>
          </cell>
        </row>
        <row r="273">
          <cell r="A273" t="str">
            <v>M000414W01</v>
          </cell>
          <cell r="B273" t="str">
            <v>M000414</v>
          </cell>
          <cell r="C273" t="str">
            <v>天开</v>
          </cell>
          <cell r="D273" t="str">
            <v>朱尾英</v>
          </cell>
        </row>
        <row r="274">
          <cell r="A274" t="str">
            <v>M000415W01</v>
          </cell>
          <cell r="B274" t="str">
            <v>M000415</v>
          </cell>
          <cell r="C274" t="str">
            <v>炳开</v>
          </cell>
          <cell r="D274" t="str">
            <v>刘伍英</v>
          </cell>
        </row>
        <row r="275">
          <cell r="A275" t="str">
            <v>M000416W01</v>
          </cell>
          <cell r="B275" t="str">
            <v>M000416</v>
          </cell>
          <cell r="C275" t="str">
            <v>富生</v>
          </cell>
          <cell r="D275" t="str">
            <v>刘友英</v>
          </cell>
        </row>
        <row r="276">
          <cell r="A276" t="str">
            <v>M000417W01</v>
          </cell>
          <cell r="B276" t="str">
            <v>M000417</v>
          </cell>
          <cell r="C276" t="str">
            <v>荣生</v>
          </cell>
          <cell r="D276" t="str">
            <v>刘转英</v>
          </cell>
        </row>
        <row r="277">
          <cell r="A277" t="str">
            <v>M000418W01</v>
          </cell>
          <cell r="B277" t="str">
            <v>M000418</v>
          </cell>
          <cell r="C277" t="str">
            <v>辉柱</v>
          </cell>
          <cell r="D277" t="str">
            <v>刘天英</v>
          </cell>
        </row>
        <row r="278">
          <cell r="A278" t="str">
            <v>M000419W01</v>
          </cell>
          <cell r="B278" t="str">
            <v>M000419</v>
          </cell>
          <cell r="C278" t="str">
            <v>元开</v>
          </cell>
          <cell r="D278" t="str">
            <v>刘富英</v>
          </cell>
        </row>
        <row r="279">
          <cell r="A279" t="str">
            <v>M000420W01</v>
          </cell>
          <cell r="B279" t="str">
            <v>M000420</v>
          </cell>
          <cell r="C279" t="str">
            <v>正开</v>
          </cell>
          <cell r="D279" t="str">
            <v>朱润珠</v>
          </cell>
        </row>
        <row r="280">
          <cell r="A280" t="str">
            <v>M000421W01</v>
          </cell>
          <cell r="B280" t="str">
            <v>M000421</v>
          </cell>
          <cell r="C280" t="str">
            <v>满香</v>
          </cell>
          <cell r="D280" t="str">
            <v>张要珠</v>
          </cell>
        </row>
        <row r="281">
          <cell r="A281" t="str">
            <v>M000422W01</v>
          </cell>
          <cell r="B281" t="str">
            <v>M000422</v>
          </cell>
          <cell r="C281" t="str">
            <v>润香</v>
          </cell>
          <cell r="D281" t="str">
            <v>刘心媛</v>
          </cell>
        </row>
        <row r="282">
          <cell r="A282" t="str">
            <v>M000423W01</v>
          </cell>
          <cell r="B282" t="str">
            <v>M000423</v>
          </cell>
          <cell r="C282" t="str">
            <v>柱才</v>
          </cell>
          <cell r="D282" t="str">
            <v>刘桂兰</v>
          </cell>
        </row>
        <row r="283">
          <cell r="A283" t="str">
            <v>ZA0251</v>
          </cell>
          <cell r="B283" t="str">
            <v>M000424</v>
          </cell>
          <cell r="C283" t="str">
            <v>洪香</v>
          </cell>
          <cell r="D283" t="str">
            <v>友兰</v>
          </cell>
        </row>
        <row r="284">
          <cell r="A284" t="str">
            <v>M000429W01</v>
          </cell>
          <cell r="B284" t="str">
            <v>M000429</v>
          </cell>
          <cell r="C284" t="str">
            <v>长先</v>
          </cell>
          <cell r="D284" t="str">
            <v>梁够兰</v>
          </cell>
        </row>
        <row r="285">
          <cell r="A285" t="str">
            <v>M000430W01</v>
          </cell>
          <cell r="B285" t="str">
            <v>M000430</v>
          </cell>
          <cell r="C285" t="str">
            <v>立先</v>
          </cell>
          <cell r="D285" t="str">
            <v>刘青莲</v>
          </cell>
        </row>
        <row r="286">
          <cell r="A286" t="str">
            <v>M000431W01</v>
          </cell>
          <cell r="B286" t="str">
            <v>M000431</v>
          </cell>
          <cell r="C286" t="str">
            <v>桂先</v>
          </cell>
          <cell r="D286" t="str">
            <v>刘晓琴</v>
          </cell>
        </row>
        <row r="287">
          <cell r="A287" t="str">
            <v>M000433W01</v>
          </cell>
          <cell r="B287" t="str">
            <v>M000433</v>
          </cell>
          <cell r="C287" t="str">
            <v>娇先</v>
          </cell>
          <cell r="D287" t="str">
            <v>安高勤</v>
          </cell>
        </row>
        <row r="288">
          <cell r="A288" t="str">
            <v>M000438W01</v>
          </cell>
          <cell r="B288" t="str">
            <v>M000438</v>
          </cell>
          <cell r="C288" t="str">
            <v>云先</v>
          </cell>
          <cell r="D288" t="str">
            <v>左茂媛</v>
          </cell>
        </row>
        <row r="289">
          <cell r="A289" t="str">
            <v>M000444W01</v>
          </cell>
          <cell r="B289" t="str">
            <v>M000444</v>
          </cell>
          <cell r="C289" t="str">
            <v>辉先</v>
          </cell>
          <cell r="D289" t="str">
            <v>刘建英</v>
          </cell>
        </row>
        <row r="290">
          <cell r="A290" t="str">
            <v>M000445W01</v>
          </cell>
          <cell r="B290" t="str">
            <v>M000445</v>
          </cell>
          <cell r="C290" t="str">
            <v>绍先</v>
          </cell>
          <cell r="D290" t="str">
            <v>唐氏福媛</v>
          </cell>
        </row>
        <row r="291">
          <cell r="A291" t="str">
            <v>M000446W01</v>
          </cell>
          <cell r="B291" t="str">
            <v>M000446</v>
          </cell>
          <cell r="C291" t="str">
            <v>木先</v>
          </cell>
          <cell r="D291" t="str">
            <v>王足兰</v>
          </cell>
        </row>
        <row r="292">
          <cell r="A292" t="str">
            <v>M000447W01</v>
          </cell>
          <cell r="B292" t="str">
            <v>M000447</v>
          </cell>
          <cell r="C292" t="str">
            <v>柱先</v>
          </cell>
          <cell r="D292" t="str">
            <v>王有兰</v>
          </cell>
        </row>
        <row r="293">
          <cell r="A293" t="str">
            <v>M000448W01</v>
          </cell>
          <cell r="B293" t="str">
            <v>M000448</v>
          </cell>
          <cell r="C293" t="str">
            <v>伍先</v>
          </cell>
          <cell r="D293" t="str">
            <v>王氏有</v>
          </cell>
        </row>
        <row r="294">
          <cell r="A294" t="str">
            <v>M000448W02</v>
          </cell>
          <cell r="B294" t="str">
            <v>M000448</v>
          </cell>
          <cell r="C294" t="str">
            <v>伍先</v>
          </cell>
          <cell r="D294" t="str">
            <v>刘小英</v>
          </cell>
        </row>
        <row r="295">
          <cell r="A295" t="str">
            <v>M000451W02</v>
          </cell>
          <cell r="B295" t="str">
            <v>M000451</v>
          </cell>
          <cell r="C295" t="str">
            <v>建新</v>
          </cell>
          <cell r="D295" t="str">
            <v>王志军</v>
          </cell>
        </row>
        <row r="296">
          <cell r="A296" t="str">
            <v>M000452W01</v>
          </cell>
          <cell r="B296" t="str">
            <v>M000452</v>
          </cell>
          <cell r="C296" t="str">
            <v>建中</v>
          </cell>
          <cell r="D296" t="str">
            <v>周小玲</v>
          </cell>
        </row>
        <row r="297">
          <cell r="A297" t="str">
            <v>M000453W01</v>
          </cell>
          <cell r="B297" t="str">
            <v>M000453</v>
          </cell>
          <cell r="C297" t="str">
            <v>建国</v>
          </cell>
          <cell r="D297" t="str">
            <v>敖丽云</v>
          </cell>
        </row>
        <row r="298">
          <cell r="A298" t="str">
            <v>M000457W01</v>
          </cell>
          <cell r="B298" t="str">
            <v>M000457</v>
          </cell>
          <cell r="C298" t="str">
            <v>飚先</v>
          </cell>
          <cell r="D298" t="str">
            <v>周金英</v>
          </cell>
        </row>
        <row r="299">
          <cell r="A299" t="str">
            <v>M000458W01</v>
          </cell>
          <cell r="B299" t="str">
            <v>M000458</v>
          </cell>
          <cell r="C299" t="str">
            <v>阳先</v>
          </cell>
          <cell r="D299" t="str">
            <v>刘岚</v>
          </cell>
        </row>
        <row r="300">
          <cell r="A300" t="str">
            <v>M000461W01</v>
          </cell>
          <cell r="B300" t="str">
            <v>M000461</v>
          </cell>
          <cell r="C300" t="str">
            <v>银先</v>
          </cell>
          <cell r="D300" t="str">
            <v>蒯英</v>
          </cell>
        </row>
        <row r="301">
          <cell r="A301" t="str">
            <v>M001367</v>
          </cell>
          <cell r="B301" t="str">
            <v>M000462</v>
          </cell>
          <cell r="C301" t="str">
            <v>宝先</v>
          </cell>
          <cell r="D301" t="str">
            <v>宝青</v>
          </cell>
        </row>
        <row r="302">
          <cell r="A302" t="str">
            <v>M000466W01</v>
          </cell>
          <cell r="B302" t="str">
            <v>M000466</v>
          </cell>
          <cell r="C302" t="str">
            <v>军先</v>
          </cell>
          <cell r="D302" t="str">
            <v>欧春风</v>
          </cell>
        </row>
        <row r="303">
          <cell r="A303" t="str">
            <v>M000467W01</v>
          </cell>
          <cell r="B303" t="str">
            <v>M000467</v>
          </cell>
          <cell r="C303" t="str">
            <v>洪先</v>
          </cell>
          <cell r="D303" t="str">
            <v>周艳红</v>
          </cell>
        </row>
        <row r="304">
          <cell r="A304" t="str">
            <v>M000468W01</v>
          </cell>
          <cell r="B304" t="str">
            <v>M000468</v>
          </cell>
          <cell r="C304" t="str">
            <v>继先</v>
          </cell>
          <cell r="D304" t="str">
            <v>桂兰</v>
          </cell>
        </row>
        <row r="305">
          <cell r="A305" t="str">
            <v>M000469W01</v>
          </cell>
          <cell r="B305" t="str">
            <v>M000469</v>
          </cell>
          <cell r="C305" t="str">
            <v>华先</v>
          </cell>
          <cell r="D305" t="str">
            <v>王芙蓉</v>
          </cell>
        </row>
        <row r="306">
          <cell r="A306" t="str">
            <v>M000471W01</v>
          </cell>
          <cell r="B306" t="str">
            <v>M000471</v>
          </cell>
          <cell r="C306" t="str">
            <v>梅兰</v>
          </cell>
          <cell r="D306" t="str">
            <v>罗志标</v>
          </cell>
        </row>
        <row r="307">
          <cell r="A307" t="str">
            <v>M000472W01</v>
          </cell>
          <cell r="B307" t="str">
            <v>M000472</v>
          </cell>
          <cell r="C307" t="str">
            <v>银兰</v>
          </cell>
          <cell r="D307" t="str">
            <v>周利</v>
          </cell>
        </row>
        <row r="308">
          <cell r="A308" t="str">
            <v>M000473W01</v>
          </cell>
          <cell r="B308" t="str">
            <v>M000473</v>
          </cell>
          <cell r="C308" t="str">
            <v>四兰</v>
          </cell>
          <cell r="D308" t="str">
            <v>刘灿</v>
          </cell>
        </row>
        <row r="309">
          <cell r="A309" t="str">
            <v>M000478W01</v>
          </cell>
          <cell r="B309" t="str">
            <v>M000478</v>
          </cell>
          <cell r="C309" t="str">
            <v>海先</v>
          </cell>
          <cell r="D309" t="str">
            <v>龙爱兰</v>
          </cell>
        </row>
        <row r="310">
          <cell r="A310" t="str">
            <v>M000479W01</v>
          </cell>
          <cell r="B310" t="str">
            <v>M000479</v>
          </cell>
          <cell r="C310" t="str">
            <v>栋先</v>
          </cell>
          <cell r="D310" t="str">
            <v>刘美秀</v>
          </cell>
        </row>
        <row r="311">
          <cell r="A311" t="str">
            <v>M000480W01</v>
          </cell>
          <cell r="B311" t="str">
            <v>M000480</v>
          </cell>
          <cell r="C311" t="str">
            <v>领先</v>
          </cell>
          <cell r="D311" t="str">
            <v>雪应凡</v>
          </cell>
        </row>
        <row r="312">
          <cell r="A312" t="str">
            <v>M000482W01</v>
          </cell>
          <cell r="B312" t="str">
            <v>M000482</v>
          </cell>
          <cell r="C312" t="str">
            <v>俊先</v>
          </cell>
          <cell r="D312" t="str">
            <v>王小曼</v>
          </cell>
        </row>
        <row r="313">
          <cell r="A313" t="str">
            <v>M000484W01</v>
          </cell>
          <cell r="B313" t="str">
            <v>M000484</v>
          </cell>
          <cell r="C313" t="str">
            <v>国文</v>
          </cell>
          <cell r="D313" t="str">
            <v>朱凡媛</v>
          </cell>
        </row>
        <row r="314">
          <cell r="A314" t="str">
            <v>M000485W01</v>
          </cell>
          <cell r="B314" t="str">
            <v>M000485</v>
          </cell>
          <cell r="C314" t="str">
            <v>立文</v>
          </cell>
          <cell r="D314" t="str">
            <v>旷秀英</v>
          </cell>
        </row>
        <row r="315">
          <cell r="A315" t="str">
            <v>M000486W01</v>
          </cell>
          <cell r="B315" t="str">
            <v>M000486</v>
          </cell>
          <cell r="C315" t="str">
            <v>干文</v>
          </cell>
          <cell r="D315" t="str">
            <v>杨伏媛</v>
          </cell>
        </row>
        <row r="316">
          <cell r="A316" t="str">
            <v>M000487W01</v>
          </cell>
          <cell r="B316" t="str">
            <v>M000487</v>
          </cell>
          <cell r="C316" t="str">
            <v>相文</v>
          </cell>
          <cell r="D316" t="str">
            <v>宁爱媛</v>
          </cell>
        </row>
        <row r="317">
          <cell r="A317" t="str">
            <v>M000491W01</v>
          </cell>
          <cell r="B317" t="str">
            <v>M000491</v>
          </cell>
          <cell r="C317" t="str">
            <v>文平</v>
          </cell>
          <cell r="D317" t="str">
            <v>周三英</v>
          </cell>
        </row>
        <row r="318">
          <cell r="A318" t="str">
            <v>M000492W01</v>
          </cell>
          <cell r="B318" t="str">
            <v>M000492</v>
          </cell>
          <cell r="C318" t="str">
            <v>武平</v>
          </cell>
          <cell r="D318" t="str">
            <v>王兰香</v>
          </cell>
        </row>
        <row r="319">
          <cell r="A319" t="str">
            <v>M000459</v>
          </cell>
          <cell r="B319" t="str">
            <v>M000493</v>
          </cell>
          <cell r="C319" t="str">
            <v>双平</v>
          </cell>
          <cell r="D319" t="str">
            <v>青兰</v>
          </cell>
        </row>
        <row r="320">
          <cell r="A320" t="str">
            <v>M000497W01</v>
          </cell>
          <cell r="B320" t="str">
            <v>M000497</v>
          </cell>
          <cell r="C320" t="str">
            <v>信善</v>
          </cell>
          <cell r="D320" t="str">
            <v>王够珠</v>
          </cell>
        </row>
        <row r="321">
          <cell r="A321" t="str">
            <v>M000498W01</v>
          </cell>
          <cell r="B321" t="str">
            <v>M000498</v>
          </cell>
          <cell r="C321" t="str">
            <v>忠善</v>
          </cell>
          <cell r="D321" t="str">
            <v>胡五英</v>
          </cell>
        </row>
        <row r="322">
          <cell r="A322" t="str">
            <v>M000499W01</v>
          </cell>
          <cell r="B322" t="str">
            <v>M000499</v>
          </cell>
          <cell r="C322" t="str">
            <v>文善</v>
          </cell>
          <cell r="D322" t="str">
            <v>刘九英</v>
          </cell>
        </row>
        <row r="323">
          <cell r="A323" t="str">
            <v>M000500W01</v>
          </cell>
          <cell r="B323" t="str">
            <v>M000500</v>
          </cell>
          <cell r="C323" t="str">
            <v>武善</v>
          </cell>
          <cell r="D323" t="str">
            <v>肖伏平</v>
          </cell>
        </row>
        <row r="324">
          <cell r="A324" t="str">
            <v>M000502W01</v>
          </cell>
          <cell r="B324" t="str">
            <v>M000502</v>
          </cell>
          <cell r="C324" t="str">
            <v>新善</v>
          </cell>
          <cell r="D324" t="str">
            <v>汪园娥</v>
          </cell>
        </row>
        <row r="325">
          <cell r="A325" t="str">
            <v>M000503W01</v>
          </cell>
          <cell r="B325" t="str">
            <v>M000503</v>
          </cell>
          <cell r="C325" t="str">
            <v>军善</v>
          </cell>
          <cell r="D325" t="str">
            <v>陈艳</v>
          </cell>
        </row>
        <row r="326">
          <cell r="A326" t="str">
            <v>M000504W01</v>
          </cell>
          <cell r="B326" t="str">
            <v>M000504</v>
          </cell>
          <cell r="C326" t="str">
            <v>政善</v>
          </cell>
          <cell r="D326" t="str">
            <v>黄小妹</v>
          </cell>
        </row>
        <row r="327">
          <cell r="A327" t="str">
            <v>M000506W01</v>
          </cell>
          <cell r="B327" t="str">
            <v>M000506</v>
          </cell>
          <cell r="C327" t="str">
            <v>培文</v>
          </cell>
          <cell r="D327" t="str">
            <v>刘秋华</v>
          </cell>
        </row>
        <row r="328">
          <cell r="A328" t="str">
            <v>M000507W01</v>
          </cell>
          <cell r="B328" t="str">
            <v>M000507</v>
          </cell>
          <cell r="C328" t="str">
            <v>新文</v>
          </cell>
          <cell r="D328" t="str">
            <v>张新华</v>
          </cell>
        </row>
        <row r="329">
          <cell r="A329" t="str">
            <v>M000508W01</v>
          </cell>
          <cell r="B329" t="str">
            <v>M000508</v>
          </cell>
          <cell r="C329" t="str">
            <v>伟文</v>
          </cell>
          <cell r="D329" t="str">
            <v>刘晓萍</v>
          </cell>
        </row>
        <row r="330">
          <cell r="A330" t="str">
            <v>M000509W01</v>
          </cell>
          <cell r="B330" t="str">
            <v>M000509</v>
          </cell>
          <cell r="C330" t="str">
            <v>学文</v>
          </cell>
          <cell r="D330" t="str">
            <v>朱小花</v>
          </cell>
        </row>
        <row r="331">
          <cell r="A331" t="str">
            <v>M000510W01</v>
          </cell>
          <cell r="B331" t="str">
            <v>M000510</v>
          </cell>
          <cell r="C331" t="str">
            <v>五文</v>
          </cell>
          <cell r="D331" t="str">
            <v>刘桂花</v>
          </cell>
        </row>
        <row r="332">
          <cell r="A332" t="str">
            <v>M000512W01</v>
          </cell>
          <cell r="B332" t="str">
            <v>M000512</v>
          </cell>
          <cell r="C332" t="str">
            <v>和平</v>
          </cell>
          <cell r="D332" t="str">
            <v>刘春桃</v>
          </cell>
        </row>
        <row r="333">
          <cell r="A333" t="str">
            <v>M000513W01</v>
          </cell>
          <cell r="B333" t="str">
            <v>M000513</v>
          </cell>
          <cell r="C333" t="str">
            <v>新平</v>
          </cell>
          <cell r="D333" t="str">
            <v>欧秋香</v>
          </cell>
        </row>
        <row r="334">
          <cell r="A334" t="str">
            <v>M000517W01</v>
          </cell>
          <cell r="B334" t="str">
            <v>M000517</v>
          </cell>
          <cell r="C334" t="str">
            <v>中平</v>
          </cell>
          <cell r="D334" t="str">
            <v>刘桂兰</v>
          </cell>
        </row>
        <row r="335">
          <cell r="A335" t="str">
            <v>M000518W01</v>
          </cell>
          <cell r="B335" t="str">
            <v>M000518</v>
          </cell>
          <cell r="C335" t="str">
            <v>小平</v>
          </cell>
          <cell r="D335" t="str">
            <v>刘求媛</v>
          </cell>
        </row>
        <row r="336">
          <cell r="A336" t="str">
            <v>M000522W01</v>
          </cell>
          <cell r="B336" t="str">
            <v>M000522</v>
          </cell>
          <cell r="C336" t="str">
            <v>顺先</v>
          </cell>
          <cell r="D336" t="str">
            <v>陈爱兰</v>
          </cell>
        </row>
        <row r="337">
          <cell r="A337" t="str">
            <v>M000526W01</v>
          </cell>
          <cell r="B337" t="str">
            <v>M000526</v>
          </cell>
          <cell r="C337" t="str">
            <v>聪</v>
          </cell>
          <cell r="D337" t="str">
            <v>甫红艳</v>
          </cell>
        </row>
        <row r="338">
          <cell r="A338" t="str">
            <v>M000534W01</v>
          </cell>
          <cell r="B338" t="str">
            <v>M000534</v>
          </cell>
          <cell r="C338" t="str">
            <v>安兵</v>
          </cell>
          <cell r="D338" t="str">
            <v>刘娇</v>
          </cell>
        </row>
        <row r="339">
          <cell r="A339" t="str">
            <v>M000543W01</v>
          </cell>
          <cell r="B339" t="str">
            <v>M000543</v>
          </cell>
          <cell r="C339" t="str">
            <v>军华</v>
          </cell>
          <cell r="D339" t="str">
            <v>张兵香</v>
          </cell>
        </row>
        <row r="340">
          <cell r="A340" t="str">
            <v>M000545W01</v>
          </cell>
          <cell r="B340" t="str">
            <v>M000545</v>
          </cell>
          <cell r="C340" t="str">
            <v>光华</v>
          </cell>
          <cell r="D340" t="str">
            <v>刘氏双艳</v>
          </cell>
        </row>
        <row r="341">
          <cell r="A341" t="str">
            <v>M000548W01</v>
          </cell>
          <cell r="B341" t="str">
            <v>M000548</v>
          </cell>
          <cell r="C341" t="str">
            <v>国华</v>
          </cell>
          <cell r="D341" t="str">
            <v>朱梅花</v>
          </cell>
        </row>
        <row r="342">
          <cell r="A342" t="str">
            <v>M000578W01</v>
          </cell>
          <cell r="B342" t="str">
            <v>M000578</v>
          </cell>
          <cell r="C342" t="str">
            <v>丽林</v>
          </cell>
          <cell r="D342" t="str">
            <v>朱冬媛</v>
          </cell>
        </row>
        <row r="343">
          <cell r="A343" t="str">
            <v>M000580W01</v>
          </cell>
          <cell r="B343" t="str">
            <v>M000580</v>
          </cell>
          <cell r="C343" t="str">
            <v>少林</v>
          </cell>
          <cell r="D343" t="str">
            <v>刘美音</v>
          </cell>
        </row>
        <row r="344">
          <cell r="A344" t="str">
            <v>M000610W01</v>
          </cell>
          <cell r="B344" t="str">
            <v>M000610</v>
          </cell>
          <cell r="C344" t="str">
            <v>伟</v>
          </cell>
          <cell r="D344" t="str">
            <v>江琴</v>
          </cell>
        </row>
        <row r="345">
          <cell r="A345" t="str">
            <v>M000613W01</v>
          </cell>
          <cell r="B345" t="str">
            <v>M000613</v>
          </cell>
          <cell r="C345" t="str">
            <v>小芳</v>
          </cell>
          <cell r="D345" t="str">
            <v>夏红敏</v>
          </cell>
        </row>
        <row r="346">
          <cell r="A346" t="str">
            <v>M000620</v>
          </cell>
          <cell r="B346" t="str">
            <v>M000619</v>
          </cell>
          <cell r="C346" t="str">
            <v>慧敏</v>
          </cell>
          <cell r="D346" t="str">
            <v>冬梅</v>
          </cell>
        </row>
        <row r="347">
          <cell r="A347" t="str">
            <v>M001000W01</v>
          </cell>
          <cell r="B347" t="str">
            <v>M001000</v>
          </cell>
          <cell r="C347" t="str">
            <v>华</v>
          </cell>
          <cell r="D347" t="str">
            <v>贺氏</v>
          </cell>
        </row>
        <row r="348">
          <cell r="A348" t="str">
            <v>M001002W01</v>
          </cell>
          <cell r="B348" t="str">
            <v>M001002</v>
          </cell>
          <cell r="C348" t="str">
            <v>迪</v>
          </cell>
          <cell r="D348" t="str">
            <v>龙氏</v>
          </cell>
        </row>
        <row r="349">
          <cell r="A349" t="str">
            <v>M001003W01</v>
          </cell>
          <cell r="B349" t="str">
            <v>M001003</v>
          </cell>
          <cell r="C349" t="str">
            <v>达</v>
          </cell>
          <cell r="D349" t="str">
            <v>张氏</v>
          </cell>
        </row>
        <row r="350">
          <cell r="A350" t="str">
            <v>M001004W01</v>
          </cell>
          <cell r="B350" t="str">
            <v>M001004</v>
          </cell>
          <cell r="C350" t="str">
            <v>宗茂</v>
          </cell>
          <cell r="D350" t="str">
            <v>李氏</v>
          </cell>
        </row>
        <row r="351">
          <cell r="A351" t="str">
            <v>M001005W01</v>
          </cell>
          <cell r="B351" t="str">
            <v>M001005</v>
          </cell>
          <cell r="C351" t="str">
            <v>元赞</v>
          </cell>
          <cell r="D351" t="str">
            <v>王氏</v>
          </cell>
        </row>
        <row r="352">
          <cell r="A352" t="str">
            <v>M001006W01</v>
          </cell>
          <cell r="B352" t="str">
            <v>M001006</v>
          </cell>
          <cell r="C352" t="str">
            <v>五赞</v>
          </cell>
          <cell r="D352" t="str">
            <v>肖氏</v>
          </cell>
        </row>
        <row r="353">
          <cell r="A353" t="str">
            <v>M001007W01</v>
          </cell>
          <cell r="B353" t="str">
            <v>M001007</v>
          </cell>
          <cell r="C353" t="str">
            <v>七赞</v>
          </cell>
          <cell r="D353" t="str">
            <v>旷氏</v>
          </cell>
        </row>
        <row r="354">
          <cell r="A354" t="str">
            <v>M001009W01</v>
          </cell>
          <cell r="B354" t="str">
            <v>M001009</v>
          </cell>
          <cell r="C354" t="str">
            <v>贵善</v>
          </cell>
          <cell r="D354" t="str">
            <v>谢氏</v>
          </cell>
        </row>
        <row r="355">
          <cell r="A355" t="str">
            <v>M001011W01</v>
          </cell>
          <cell r="B355" t="str">
            <v>M001011</v>
          </cell>
          <cell r="C355" t="str">
            <v>贵奉</v>
          </cell>
          <cell r="D355" t="str">
            <v>刘氏</v>
          </cell>
        </row>
        <row r="356">
          <cell r="A356" t="str">
            <v>M001012W01</v>
          </cell>
          <cell r="B356" t="str">
            <v>M001012</v>
          </cell>
          <cell r="C356" t="str">
            <v>贵凰</v>
          </cell>
          <cell r="D356" t="str">
            <v>某氏</v>
          </cell>
        </row>
        <row r="357">
          <cell r="A357" t="str">
            <v>M001013W01</v>
          </cell>
          <cell r="B357" t="str">
            <v>M001013</v>
          </cell>
          <cell r="C357" t="str">
            <v>慕道</v>
          </cell>
          <cell r="D357" t="str">
            <v>孟氏</v>
          </cell>
        </row>
        <row r="358">
          <cell r="A358" t="str">
            <v>M001014W01</v>
          </cell>
          <cell r="B358" t="str">
            <v>M001014</v>
          </cell>
          <cell r="C358" t="str">
            <v>慕儒</v>
          </cell>
          <cell r="D358" t="str">
            <v>某氏</v>
          </cell>
        </row>
        <row r="359">
          <cell r="A359" t="str">
            <v>M001015W01</v>
          </cell>
          <cell r="B359" t="str">
            <v>M001015</v>
          </cell>
          <cell r="C359" t="str">
            <v>慕周</v>
          </cell>
          <cell r="D359" t="str">
            <v>某氏</v>
          </cell>
        </row>
        <row r="360">
          <cell r="A360" t="str">
            <v>M001016W01</v>
          </cell>
          <cell r="B360" t="str">
            <v>M001016</v>
          </cell>
          <cell r="C360" t="str">
            <v>受</v>
          </cell>
          <cell r="D360" t="str">
            <v>沈氏</v>
          </cell>
        </row>
        <row r="361">
          <cell r="A361" t="str">
            <v>M001017W01</v>
          </cell>
          <cell r="B361" t="str">
            <v>M001017</v>
          </cell>
          <cell r="C361" t="str">
            <v>爵</v>
          </cell>
          <cell r="D361" t="str">
            <v>某氏</v>
          </cell>
        </row>
        <row r="362">
          <cell r="A362" t="str">
            <v>M001018W01</v>
          </cell>
          <cell r="B362" t="str">
            <v>M001018</v>
          </cell>
          <cell r="C362" t="str">
            <v>舜</v>
          </cell>
          <cell r="D362" t="str">
            <v>某氏</v>
          </cell>
        </row>
        <row r="363">
          <cell r="A363" t="str">
            <v>M001019W01</v>
          </cell>
          <cell r="B363" t="str">
            <v>M001019</v>
          </cell>
          <cell r="C363" t="str">
            <v>爱</v>
          </cell>
          <cell r="D363" t="str">
            <v>某氏</v>
          </cell>
        </row>
        <row r="364">
          <cell r="A364" t="str">
            <v>M001020W01</v>
          </cell>
          <cell r="B364" t="str">
            <v>M001020</v>
          </cell>
          <cell r="C364" t="str">
            <v>正楠</v>
          </cell>
          <cell r="D364" t="str">
            <v>傅氏</v>
          </cell>
        </row>
        <row r="365">
          <cell r="A365" t="str">
            <v>M001021W01</v>
          </cell>
          <cell r="B365" t="str">
            <v>M001021</v>
          </cell>
          <cell r="C365" t="str">
            <v>启源</v>
          </cell>
          <cell r="D365" t="str">
            <v>匡氏</v>
          </cell>
        </row>
        <row r="366">
          <cell r="A366" t="str">
            <v>M001022W01</v>
          </cell>
          <cell r="B366" t="str">
            <v>M001022</v>
          </cell>
          <cell r="C366" t="str">
            <v>启凤</v>
          </cell>
          <cell r="D366" t="str">
            <v>肖氏</v>
          </cell>
        </row>
        <row r="367">
          <cell r="A367" t="str">
            <v>M001023W01</v>
          </cell>
          <cell r="B367" t="str">
            <v>M001023</v>
          </cell>
          <cell r="C367" t="str">
            <v>正棣</v>
          </cell>
          <cell r="D367" t="str">
            <v>刘氏</v>
          </cell>
        </row>
        <row r="368">
          <cell r="A368" t="str">
            <v>M001026W01</v>
          </cell>
          <cell r="B368" t="str">
            <v>M001026</v>
          </cell>
          <cell r="C368" t="str">
            <v>正云</v>
          </cell>
          <cell r="D368" t="str">
            <v>某氏</v>
          </cell>
        </row>
        <row r="369">
          <cell r="A369" t="str">
            <v>M001027W01</v>
          </cell>
          <cell r="B369" t="str">
            <v>M001027</v>
          </cell>
          <cell r="C369" t="str">
            <v>秉新</v>
          </cell>
          <cell r="D369" t="str">
            <v>龙氏</v>
          </cell>
        </row>
        <row r="370">
          <cell r="A370" t="str">
            <v>M001028W01</v>
          </cell>
          <cell r="B370" t="str">
            <v>M001028</v>
          </cell>
          <cell r="C370" t="str">
            <v>秉清</v>
          </cell>
          <cell r="D370" t="str">
            <v>刘氏</v>
          </cell>
        </row>
        <row r="371">
          <cell r="A371" t="str">
            <v>M001029W01</v>
          </cell>
          <cell r="B371" t="str">
            <v>M001029</v>
          </cell>
          <cell r="C371" t="str">
            <v>秉忠</v>
          </cell>
          <cell r="D371" t="str">
            <v>刘氏</v>
          </cell>
        </row>
        <row r="372">
          <cell r="A372" t="str">
            <v>M001031W01</v>
          </cell>
          <cell r="B372" t="str">
            <v>M001031</v>
          </cell>
          <cell r="C372" t="str">
            <v>团保</v>
          </cell>
          <cell r="D372" t="str">
            <v>消氏</v>
          </cell>
        </row>
        <row r="373">
          <cell r="A373" t="str">
            <v>M001034W01</v>
          </cell>
          <cell r="B373" t="str">
            <v>M001034</v>
          </cell>
          <cell r="C373" t="str">
            <v>图保</v>
          </cell>
          <cell r="D373" t="str">
            <v>某氏</v>
          </cell>
        </row>
        <row r="374">
          <cell r="A374" t="str">
            <v>M001036W01</v>
          </cell>
          <cell r="B374" t="str">
            <v>M001036</v>
          </cell>
          <cell r="C374" t="str">
            <v>朝干</v>
          </cell>
          <cell r="D374" t="str">
            <v>肖氏</v>
          </cell>
        </row>
        <row r="375">
          <cell r="A375" t="str">
            <v>M001036W02</v>
          </cell>
          <cell r="B375" t="str">
            <v>M001036</v>
          </cell>
          <cell r="C375" t="str">
            <v>朝干</v>
          </cell>
          <cell r="D375" t="str">
            <v>尹氏</v>
          </cell>
        </row>
        <row r="376">
          <cell r="A376" t="str">
            <v>M001036W03</v>
          </cell>
          <cell r="B376" t="str">
            <v>M001036</v>
          </cell>
          <cell r="C376" t="str">
            <v>朝干</v>
          </cell>
          <cell r="D376" t="str">
            <v>张氏</v>
          </cell>
        </row>
        <row r="377">
          <cell r="A377" t="str">
            <v>M001037W01</v>
          </cell>
          <cell r="B377" t="str">
            <v>M001037</v>
          </cell>
          <cell r="C377" t="str">
            <v>国瑞</v>
          </cell>
          <cell r="D377" t="str">
            <v>彭氏</v>
          </cell>
        </row>
        <row r="378">
          <cell r="A378" t="str">
            <v>M001038W01</v>
          </cell>
          <cell r="B378" t="str">
            <v>M001038</v>
          </cell>
          <cell r="C378" t="str">
            <v>应侯</v>
          </cell>
          <cell r="D378" t="str">
            <v>王氏</v>
          </cell>
        </row>
        <row r="379">
          <cell r="A379" t="str">
            <v>M001039W01</v>
          </cell>
          <cell r="B379" t="str">
            <v>M001039</v>
          </cell>
          <cell r="C379" t="str">
            <v>国湖</v>
          </cell>
          <cell r="D379" t="str">
            <v>刘氏</v>
          </cell>
        </row>
        <row r="380">
          <cell r="A380" t="str">
            <v>M001040W01</v>
          </cell>
          <cell r="B380" t="str">
            <v>M001040</v>
          </cell>
          <cell r="C380" t="str">
            <v>命侯</v>
          </cell>
          <cell r="D380" t="str">
            <v>王氏</v>
          </cell>
        </row>
        <row r="381">
          <cell r="A381" t="str">
            <v>M001041W01</v>
          </cell>
          <cell r="B381" t="str">
            <v>M001041</v>
          </cell>
          <cell r="C381" t="str">
            <v>国兴</v>
          </cell>
          <cell r="D381" t="str">
            <v>刘氏</v>
          </cell>
        </row>
        <row r="382">
          <cell r="A382" t="str">
            <v>M001042W01</v>
          </cell>
          <cell r="B382" t="str">
            <v>M001042</v>
          </cell>
          <cell r="C382" t="str">
            <v>国璋</v>
          </cell>
          <cell r="D382" t="str">
            <v>某氏</v>
          </cell>
        </row>
        <row r="383">
          <cell r="A383" t="str">
            <v>M001043W01</v>
          </cell>
          <cell r="B383" t="str">
            <v>M001043</v>
          </cell>
          <cell r="C383" t="str">
            <v>国政</v>
          </cell>
          <cell r="D383" t="str">
            <v>龙氏</v>
          </cell>
        </row>
        <row r="384">
          <cell r="A384" t="str">
            <v>M001043W02</v>
          </cell>
          <cell r="B384" t="str">
            <v>M001043</v>
          </cell>
          <cell r="C384" t="str">
            <v>国政</v>
          </cell>
          <cell r="D384" t="str">
            <v>某氏</v>
          </cell>
        </row>
        <row r="385">
          <cell r="A385" t="str">
            <v>M001045W01</v>
          </cell>
          <cell r="B385" t="str">
            <v>M001045</v>
          </cell>
          <cell r="C385" t="str">
            <v>永升</v>
          </cell>
          <cell r="D385" t="str">
            <v>王氏</v>
          </cell>
        </row>
        <row r="386">
          <cell r="A386" t="str">
            <v>M001046W01</v>
          </cell>
          <cell r="B386" t="str">
            <v>M001046</v>
          </cell>
          <cell r="C386" t="str">
            <v>永昌</v>
          </cell>
          <cell r="D386" t="str">
            <v>许氏</v>
          </cell>
        </row>
        <row r="387">
          <cell r="A387" t="str">
            <v>M001046W02</v>
          </cell>
          <cell r="B387" t="str">
            <v>M001046</v>
          </cell>
          <cell r="C387" t="str">
            <v>永昌</v>
          </cell>
          <cell r="D387" t="str">
            <v>肖氏</v>
          </cell>
        </row>
        <row r="388">
          <cell r="A388" t="str">
            <v>M001047W01</v>
          </cell>
          <cell r="B388" t="str">
            <v>M001047</v>
          </cell>
          <cell r="C388" t="str">
            <v>永昂</v>
          </cell>
          <cell r="D388" t="str">
            <v>陈氏</v>
          </cell>
        </row>
        <row r="389">
          <cell r="A389" t="str">
            <v>M001048W01</v>
          </cell>
          <cell r="B389" t="str">
            <v>M001048</v>
          </cell>
          <cell r="C389" t="str">
            <v>永旦</v>
          </cell>
          <cell r="D389" t="str">
            <v>王氏</v>
          </cell>
        </row>
        <row r="390">
          <cell r="A390" t="str">
            <v>M001049W01</v>
          </cell>
          <cell r="B390" t="str">
            <v>M001049</v>
          </cell>
          <cell r="C390" t="str">
            <v>永景</v>
          </cell>
          <cell r="D390" t="str">
            <v>王氏</v>
          </cell>
        </row>
        <row r="391">
          <cell r="A391" t="str">
            <v>M001049W02</v>
          </cell>
          <cell r="B391" t="str">
            <v>M001049</v>
          </cell>
          <cell r="C391" t="str">
            <v>永景</v>
          </cell>
          <cell r="D391" t="str">
            <v>王氏</v>
          </cell>
        </row>
        <row r="392">
          <cell r="A392" t="str">
            <v>M001050W01</v>
          </cell>
          <cell r="B392" t="str">
            <v>M001050</v>
          </cell>
          <cell r="C392" t="str">
            <v>永星</v>
          </cell>
          <cell r="D392" t="str">
            <v>李氏</v>
          </cell>
        </row>
        <row r="393">
          <cell r="A393" t="str">
            <v>M001051W01</v>
          </cell>
          <cell r="B393" t="str">
            <v>M001051</v>
          </cell>
          <cell r="C393" t="str">
            <v>永晨</v>
          </cell>
          <cell r="D393" t="str">
            <v>刘氏</v>
          </cell>
        </row>
        <row r="394">
          <cell r="A394" t="str">
            <v>M001051W02</v>
          </cell>
          <cell r="B394" t="str">
            <v>M001051</v>
          </cell>
          <cell r="C394" t="str">
            <v>永晨</v>
          </cell>
          <cell r="D394" t="str">
            <v>王氏</v>
          </cell>
        </row>
        <row r="395">
          <cell r="A395" t="str">
            <v>M001052W01</v>
          </cell>
          <cell r="B395" t="str">
            <v>M001052</v>
          </cell>
          <cell r="C395" t="str">
            <v>永昊</v>
          </cell>
          <cell r="D395" t="str">
            <v>王氏</v>
          </cell>
        </row>
        <row r="396">
          <cell r="A396" t="str">
            <v>M001053W01</v>
          </cell>
          <cell r="B396" t="str">
            <v>M001053</v>
          </cell>
          <cell r="C396" t="str">
            <v>永钟</v>
          </cell>
          <cell r="D396" t="str">
            <v>周氏</v>
          </cell>
        </row>
        <row r="397">
          <cell r="A397" t="str">
            <v>M001054W01</v>
          </cell>
          <cell r="B397" t="str">
            <v>M001054</v>
          </cell>
          <cell r="C397" t="str">
            <v>大勋</v>
          </cell>
          <cell r="D397" t="str">
            <v>刘氏</v>
          </cell>
        </row>
        <row r="398">
          <cell r="A398" t="str">
            <v>M001054W02</v>
          </cell>
          <cell r="B398" t="str">
            <v>M001054</v>
          </cell>
          <cell r="C398" t="str">
            <v>大勋</v>
          </cell>
          <cell r="D398" t="str">
            <v>左氏</v>
          </cell>
        </row>
        <row r="399">
          <cell r="A399" t="str">
            <v>M001055W01</v>
          </cell>
          <cell r="B399" t="str">
            <v>M001055</v>
          </cell>
          <cell r="C399" t="str">
            <v>永剑</v>
          </cell>
          <cell r="D399" t="str">
            <v>龙氏</v>
          </cell>
        </row>
        <row r="400">
          <cell r="A400" t="str">
            <v>M001056W01</v>
          </cell>
          <cell r="B400" t="str">
            <v>M001056</v>
          </cell>
          <cell r="C400" t="str">
            <v>永庆</v>
          </cell>
          <cell r="D400" t="str">
            <v>王氏</v>
          </cell>
        </row>
        <row r="401">
          <cell r="A401" t="str">
            <v>M001056W02</v>
          </cell>
          <cell r="B401" t="str">
            <v>M001056</v>
          </cell>
          <cell r="C401" t="str">
            <v>永庆</v>
          </cell>
          <cell r="D401" t="str">
            <v>彭氏</v>
          </cell>
        </row>
        <row r="402">
          <cell r="A402" t="str">
            <v>M001057W01</v>
          </cell>
          <cell r="B402" t="str">
            <v>M001057</v>
          </cell>
          <cell r="C402" t="str">
            <v>永巨</v>
          </cell>
          <cell r="D402" t="str">
            <v>刘氏</v>
          </cell>
        </row>
        <row r="403">
          <cell r="A403" t="str">
            <v>M001059W01</v>
          </cell>
          <cell r="B403" t="str">
            <v>M001059</v>
          </cell>
          <cell r="C403" t="str">
            <v>永铎</v>
          </cell>
          <cell r="D403" t="str">
            <v>刘氏</v>
          </cell>
        </row>
        <row r="404">
          <cell r="A404" t="str">
            <v>M001060W01</v>
          </cell>
          <cell r="B404" t="str">
            <v>M001060</v>
          </cell>
          <cell r="C404" t="str">
            <v>永灿</v>
          </cell>
          <cell r="D404" t="str">
            <v>刘氏</v>
          </cell>
        </row>
        <row r="405">
          <cell r="A405" t="str">
            <v>M001061W01</v>
          </cell>
          <cell r="B405" t="str">
            <v>M001061</v>
          </cell>
          <cell r="C405" t="str">
            <v>永锐</v>
          </cell>
          <cell r="D405" t="str">
            <v>王氏</v>
          </cell>
        </row>
        <row r="406">
          <cell r="A406" t="str">
            <v>M001062W01</v>
          </cell>
          <cell r="B406" t="str">
            <v>M001062</v>
          </cell>
          <cell r="C406" t="str">
            <v>永鉴</v>
          </cell>
          <cell r="D406" t="str">
            <v>刘氏</v>
          </cell>
        </row>
        <row r="407">
          <cell r="A407" t="str">
            <v>M001063W01</v>
          </cell>
          <cell r="B407" t="str">
            <v>M001063</v>
          </cell>
          <cell r="C407" t="str">
            <v>永焕</v>
          </cell>
          <cell r="D407" t="str">
            <v>李氏</v>
          </cell>
        </row>
        <row r="408">
          <cell r="A408" t="str">
            <v>M001064W01</v>
          </cell>
          <cell r="B408" t="str">
            <v>M001064</v>
          </cell>
          <cell r="C408" t="str">
            <v>永兰</v>
          </cell>
          <cell r="D408" t="str">
            <v>刘氏</v>
          </cell>
        </row>
        <row r="409">
          <cell r="A409" t="str">
            <v>M001065W01</v>
          </cell>
          <cell r="B409" t="str">
            <v>M001065</v>
          </cell>
          <cell r="C409" t="str">
            <v>永蔼</v>
          </cell>
          <cell r="D409" t="str">
            <v>刘氏</v>
          </cell>
        </row>
        <row r="410">
          <cell r="A410" t="str">
            <v>M001066W01</v>
          </cell>
          <cell r="B410" t="str">
            <v>M001066</v>
          </cell>
          <cell r="C410" t="str">
            <v>永芳</v>
          </cell>
          <cell r="D410" t="str">
            <v>胡氏</v>
          </cell>
        </row>
        <row r="411">
          <cell r="A411" t="str">
            <v>M001067W01</v>
          </cell>
          <cell r="B411" t="str">
            <v>M001067</v>
          </cell>
          <cell r="C411" t="str">
            <v>永茂</v>
          </cell>
          <cell r="D411" t="str">
            <v>肖氏</v>
          </cell>
        </row>
        <row r="412">
          <cell r="A412" t="str">
            <v>M001069W01</v>
          </cell>
          <cell r="B412" t="str">
            <v>M001069</v>
          </cell>
          <cell r="C412" t="str">
            <v>永夔</v>
          </cell>
          <cell r="D412" t="str">
            <v>毛氏</v>
          </cell>
        </row>
        <row r="413">
          <cell r="A413" t="str">
            <v>M001070W01</v>
          </cell>
          <cell r="B413" t="str">
            <v>M001070</v>
          </cell>
          <cell r="C413" t="str">
            <v>永芹</v>
          </cell>
          <cell r="D413" t="str">
            <v>刘氏</v>
          </cell>
        </row>
        <row r="414">
          <cell r="A414" t="str">
            <v>M001071W01</v>
          </cell>
          <cell r="B414" t="str">
            <v>M001071</v>
          </cell>
          <cell r="C414" t="str">
            <v>永元</v>
          </cell>
          <cell r="D414" t="str">
            <v>肖氏</v>
          </cell>
        </row>
        <row r="415">
          <cell r="A415" t="str">
            <v>M001076W01</v>
          </cell>
          <cell r="B415" t="str">
            <v>M001076</v>
          </cell>
          <cell r="C415" t="str">
            <v>士宗</v>
          </cell>
          <cell r="D415" t="str">
            <v>刘氏</v>
          </cell>
        </row>
        <row r="416">
          <cell r="A416" t="str">
            <v>M001076W02</v>
          </cell>
          <cell r="B416" t="str">
            <v>M001076</v>
          </cell>
          <cell r="C416" t="str">
            <v>士宗</v>
          </cell>
          <cell r="D416" t="str">
            <v>刘氏</v>
          </cell>
        </row>
        <row r="417">
          <cell r="A417" t="str">
            <v>M001077W01</v>
          </cell>
          <cell r="B417" t="str">
            <v>M001077</v>
          </cell>
          <cell r="C417" t="str">
            <v>士定</v>
          </cell>
          <cell r="D417" t="str">
            <v>李氏</v>
          </cell>
        </row>
        <row r="418">
          <cell r="A418" t="str">
            <v>M001079W01</v>
          </cell>
          <cell r="B418" t="str">
            <v>M001079</v>
          </cell>
          <cell r="C418" t="str">
            <v>士宝</v>
          </cell>
          <cell r="D418" t="str">
            <v>王氏</v>
          </cell>
        </row>
        <row r="419">
          <cell r="A419" t="str">
            <v>M001080W01</v>
          </cell>
          <cell r="B419" t="str">
            <v>M001080</v>
          </cell>
          <cell r="C419" t="str">
            <v>士泽</v>
          </cell>
          <cell r="D419" t="str">
            <v>刘氏</v>
          </cell>
        </row>
        <row r="420">
          <cell r="A420" t="str">
            <v>M001082W01</v>
          </cell>
          <cell r="B420" t="str">
            <v>M001082</v>
          </cell>
          <cell r="C420" t="str">
            <v>士湘</v>
          </cell>
          <cell r="D420" t="str">
            <v>刘氏</v>
          </cell>
        </row>
        <row r="421">
          <cell r="A421" t="str">
            <v>M001083W01</v>
          </cell>
          <cell r="B421" t="str">
            <v>M001083</v>
          </cell>
          <cell r="C421" t="str">
            <v>士溥</v>
          </cell>
          <cell r="D421" t="str">
            <v>谢氏</v>
          </cell>
        </row>
        <row r="422">
          <cell r="A422" t="str">
            <v>M001085W01</v>
          </cell>
          <cell r="B422" t="str">
            <v>M001085</v>
          </cell>
          <cell r="C422" t="str">
            <v>士德</v>
          </cell>
          <cell r="D422" t="str">
            <v>王氏</v>
          </cell>
        </row>
        <row r="423">
          <cell r="A423" t="str">
            <v>M001086W01</v>
          </cell>
          <cell r="B423" t="str">
            <v>M001086</v>
          </cell>
          <cell r="C423" t="str">
            <v>士琦</v>
          </cell>
          <cell r="D423" t="str">
            <v>李氏</v>
          </cell>
        </row>
        <row r="424">
          <cell r="A424" t="str">
            <v>M001087W01</v>
          </cell>
          <cell r="B424" t="str">
            <v>M001087</v>
          </cell>
          <cell r="C424" t="str">
            <v>士瑛</v>
          </cell>
          <cell r="D424" t="str">
            <v>刘氏</v>
          </cell>
        </row>
        <row r="425">
          <cell r="A425" t="str">
            <v>M001088W01</v>
          </cell>
          <cell r="B425" t="str">
            <v>M001088</v>
          </cell>
          <cell r="C425" t="str">
            <v>士瑗</v>
          </cell>
          <cell r="D425" t="str">
            <v>李氏</v>
          </cell>
        </row>
        <row r="426">
          <cell r="A426" t="str">
            <v>M001089W01</v>
          </cell>
          <cell r="B426" t="str">
            <v>M001089</v>
          </cell>
          <cell r="C426" t="str">
            <v>士玮</v>
          </cell>
          <cell r="D426" t="str">
            <v>刘氏</v>
          </cell>
        </row>
        <row r="427">
          <cell r="A427" t="str">
            <v>M001091W01</v>
          </cell>
          <cell r="B427" t="str">
            <v>M001091</v>
          </cell>
          <cell r="C427" t="str">
            <v>士达</v>
          </cell>
          <cell r="D427" t="str">
            <v>刘氏</v>
          </cell>
        </row>
        <row r="428">
          <cell r="A428" t="str">
            <v>M001092W01</v>
          </cell>
          <cell r="B428" t="str">
            <v>M001092</v>
          </cell>
          <cell r="C428" t="str">
            <v>士逵</v>
          </cell>
          <cell r="D428" t="str">
            <v>王氏</v>
          </cell>
        </row>
        <row r="429">
          <cell r="A429" t="str">
            <v>M001093W01</v>
          </cell>
          <cell r="B429" t="str">
            <v>M001093</v>
          </cell>
          <cell r="C429" t="str">
            <v>士通</v>
          </cell>
          <cell r="D429" t="str">
            <v>黄氏</v>
          </cell>
        </row>
        <row r="430">
          <cell r="A430" t="str">
            <v>M001095W01</v>
          </cell>
          <cell r="B430" t="str">
            <v>M001095</v>
          </cell>
          <cell r="C430" t="str">
            <v>士珀</v>
          </cell>
          <cell r="D430" t="str">
            <v>刘氏</v>
          </cell>
        </row>
        <row r="431">
          <cell r="A431" t="str">
            <v>M001095W02</v>
          </cell>
          <cell r="B431" t="str">
            <v>M001095</v>
          </cell>
          <cell r="C431" t="str">
            <v>士珀</v>
          </cell>
          <cell r="D431" t="str">
            <v>刘氏</v>
          </cell>
        </row>
        <row r="432">
          <cell r="A432" t="str">
            <v>M001098W01</v>
          </cell>
          <cell r="B432" t="str">
            <v>M001098</v>
          </cell>
          <cell r="C432" t="str">
            <v>士濂</v>
          </cell>
          <cell r="D432" t="str">
            <v>陈氏</v>
          </cell>
        </row>
        <row r="433">
          <cell r="A433" t="str">
            <v>M001102W01</v>
          </cell>
          <cell r="B433" t="str">
            <v>M001102</v>
          </cell>
          <cell r="C433" t="str">
            <v>士礼</v>
          </cell>
          <cell r="D433" t="str">
            <v>彭氏</v>
          </cell>
        </row>
        <row r="434">
          <cell r="A434" t="str">
            <v>M001103W01</v>
          </cell>
          <cell r="B434" t="str">
            <v>M001103</v>
          </cell>
          <cell r="C434" t="str">
            <v>士荣</v>
          </cell>
          <cell r="D434" t="str">
            <v>彭氏</v>
          </cell>
        </row>
        <row r="435">
          <cell r="A435" t="str">
            <v>M001104W01</v>
          </cell>
          <cell r="B435" t="str">
            <v>M001104</v>
          </cell>
          <cell r="C435" t="str">
            <v>士义</v>
          </cell>
          <cell r="D435" t="str">
            <v>朱氏</v>
          </cell>
        </row>
        <row r="436">
          <cell r="A436" t="str">
            <v>M001105W01</v>
          </cell>
          <cell r="B436" t="str">
            <v>M001105</v>
          </cell>
          <cell r="C436" t="str">
            <v>士智</v>
          </cell>
          <cell r="D436" t="str">
            <v>刘氏</v>
          </cell>
        </row>
        <row r="437">
          <cell r="A437" t="str">
            <v>M001106W01</v>
          </cell>
          <cell r="B437" t="str">
            <v>M001106</v>
          </cell>
          <cell r="C437" t="str">
            <v>士谦</v>
          </cell>
          <cell r="D437" t="str">
            <v>李氏</v>
          </cell>
        </row>
        <row r="438">
          <cell r="A438" t="str">
            <v>M001107W01</v>
          </cell>
          <cell r="B438" t="str">
            <v>M001107</v>
          </cell>
          <cell r="C438" t="str">
            <v>士相</v>
          </cell>
          <cell r="D438" t="str">
            <v>刘氏</v>
          </cell>
        </row>
        <row r="439">
          <cell r="A439" t="str">
            <v>M001108W01</v>
          </cell>
          <cell r="B439" t="str">
            <v>M001108</v>
          </cell>
          <cell r="C439" t="str">
            <v>士龙</v>
          </cell>
          <cell r="D439" t="str">
            <v>龙氏</v>
          </cell>
        </row>
        <row r="440">
          <cell r="A440" t="str">
            <v>M001109W01</v>
          </cell>
          <cell r="B440" t="str">
            <v>M001109</v>
          </cell>
          <cell r="C440" t="str">
            <v>士俊</v>
          </cell>
          <cell r="D440" t="str">
            <v>杨氏</v>
          </cell>
        </row>
        <row r="441">
          <cell r="A441" t="str">
            <v>M001110W01</v>
          </cell>
          <cell r="B441" t="str">
            <v>M001110</v>
          </cell>
          <cell r="C441" t="str">
            <v>士杰</v>
          </cell>
          <cell r="D441" t="str">
            <v>彭氏</v>
          </cell>
        </row>
        <row r="442">
          <cell r="A442" t="str">
            <v>M001112W01</v>
          </cell>
          <cell r="B442" t="str">
            <v>M001112</v>
          </cell>
          <cell r="C442" t="str">
            <v>士祥</v>
          </cell>
          <cell r="D442" t="str">
            <v>刘氏</v>
          </cell>
        </row>
        <row r="443">
          <cell r="A443" t="str">
            <v>M001113W01</v>
          </cell>
          <cell r="B443" t="str">
            <v>M001113</v>
          </cell>
          <cell r="C443" t="str">
            <v>士祚</v>
          </cell>
          <cell r="D443" t="str">
            <v>杨氏</v>
          </cell>
        </row>
        <row r="444">
          <cell r="A444" t="str">
            <v>M001114W01</v>
          </cell>
          <cell r="B444" t="str">
            <v>M001114</v>
          </cell>
          <cell r="C444" t="str">
            <v>士裕</v>
          </cell>
          <cell r="D444" t="str">
            <v>李氏</v>
          </cell>
        </row>
        <row r="445">
          <cell r="A445" t="str">
            <v>M001115W01</v>
          </cell>
          <cell r="B445" t="str">
            <v>M001115</v>
          </cell>
          <cell r="C445" t="str">
            <v>士禧</v>
          </cell>
          <cell r="D445" t="str">
            <v>刘氏</v>
          </cell>
        </row>
        <row r="446">
          <cell r="A446" t="str">
            <v>M001118W01</v>
          </cell>
          <cell r="B446" t="str">
            <v>M001118</v>
          </cell>
          <cell r="C446" t="str">
            <v>士崇</v>
          </cell>
          <cell r="D446" t="str">
            <v>杨氏</v>
          </cell>
        </row>
        <row r="447">
          <cell r="A447" t="str">
            <v>M001122W01</v>
          </cell>
          <cell r="B447" t="str">
            <v>M001122</v>
          </cell>
          <cell r="C447" t="str">
            <v>士岗</v>
          </cell>
          <cell r="D447" t="str">
            <v>左氏</v>
          </cell>
        </row>
        <row r="448">
          <cell r="A448" t="str">
            <v>M001123W01</v>
          </cell>
          <cell r="B448" t="str">
            <v>M001123</v>
          </cell>
          <cell r="C448" t="str">
            <v>士昆</v>
          </cell>
          <cell r="D448" t="str">
            <v>肖氏</v>
          </cell>
        </row>
        <row r="449">
          <cell r="A449" t="str">
            <v>M001125W01</v>
          </cell>
          <cell r="B449" t="str">
            <v>M001125</v>
          </cell>
          <cell r="C449" t="str">
            <v>士峤</v>
          </cell>
          <cell r="D449" t="str">
            <v>黄氏</v>
          </cell>
        </row>
        <row r="450">
          <cell r="A450" t="str">
            <v>M001128W01</v>
          </cell>
          <cell r="B450" t="str">
            <v>M001128</v>
          </cell>
          <cell r="C450" t="str">
            <v>士樑</v>
          </cell>
          <cell r="D450" t="str">
            <v>项氏</v>
          </cell>
        </row>
        <row r="451">
          <cell r="A451" t="str">
            <v>M001131W01</v>
          </cell>
          <cell r="B451" t="str">
            <v>M001131</v>
          </cell>
          <cell r="C451" t="str">
            <v>士松</v>
          </cell>
          <cell r="D451" t="str">
            <v>唐氏</v>
          </cell>
        </row>
        <row r="452">
          <cell r="A452" t="str">
            <v>M001134W01</v>
          </cell>
          <cell r="B452" t="str">
            <v>M001134</v>
          </cell>
          <cell r="C452" t="str">
            <v>士槐</v>
          </cell>
          <cell r="D452" t="str">
            <v>甘氏</v>
          </cell>
        </row>
        <row r="453">
          <cell r="A453" t="str">
            <v>M001151W01</v>
          </cell>
          <cell r="B453" t="str">
            <v>M001151</v>
          </cell>
          <cell r="C453" t="str">
            <v>方立</v>
          </cell>
          <cell r="D453" t="str">
            <v>肖氏</v>
          </cell>
        </row>
        <row r="454">
          <cell r="A454" t="str">
            <v>M001159W01</v>
          </cell>
          <cell r="B454" t="str">
            <v>M001159</v>
          </cell>
          <cell r="C454" t="str">
            <v>方绂</v>
          </cell>
          <cell r="D454" t="str">
            <v>刘氏</v>
          </cell>
        </row>
        <row r="455">
          <cell r="A455" t="str">
            <v>M001163W01</v>
          </cell>
          <cell r="B455" t="str">
            <v>M001163</v>
          </cell>
          <cell r="C455" t="str">
            <v>方华</v>
          </cell>
          <cell r="D455" t="str">
            <v>彭氏</v>
          </cell>
        </row>
        <row r="456">
          <cell r="A456" t="str">
            <v>M001165W01</v>
          </cell>
          <cell r="B456" t="str">
            <v>M001165</v>
          </cell>
          <cell r="C456" t="str">
            <v>方藻</v>
          </cell>
          <cell r="D456" t="str">
            <v>王氏</v>
          </cell>
        </row>
        <row r="457">
          <cell r="A457" t="str">
            <v>M001176W01</v>
          </cell>
          <cell r="B457" t="str">
            <v>M001176</v>
          </cell>
          <cell r="C457" t="str">
            <v>方椿</v>
          </cell>
          <cell r="D457" t="str">
            <v>会氏</v>
          </cell>
        </row>
        <row r="458">
          <cell r="A458" t="str">
            <v>M001177W01</v>
          </cell>
          <cell r="B458" t="str">
            <v>M001177</v>
          </cell>
          <cell r="C458" t="str">
            <v>方曜</v>
          </cell>
          <cell r="D458" t="str">
            <v>鲁氏</v>
          </cell>
        </row>
        <row r="459">
          <cell r="A459" t="str">
            <v>M001178W01</v>
          </cell>
          <cell r="B459" t="str">
            <v>M001178</v>
          </cell>
          <cell r="C459" t="str">
            <v>方暹</v>
          </cell>
          <cell r="D459" t="str">
            <v>刘氏</v>
          </cell>
        </row>
        <row r="460">
          <cell r="A460" t="str">
            <v>M001188W01</v>
          </cell>
          <cell r="B460" t="str">
            <v>M001188</v>
          </cell>
          <cell r="C460" t="str">
            <v>丕衍</v>
          </cell>
          <cell r="D460" t="str">
            <v>李喜珠</v>
          </cell>
        </row>
        <row r="461">
          <cell r="A461" t="str">
            <v>M001190W01</v>
          </cell>
          <cell r="B461" t="str">
            <v>M001190</v>
          </cell>
          <cell r="C461" t="str">
            <v>前德</v>
          </cell>
          <cell r="D461" t="str">
            <v>刘情珠</v>
          </cell>
        </row>
        <row r="462">
          <cell r="A462" t="str">
            <v>M001191W01</v>
          </cell>
          <cell r="B462" t="str">
            <v>M001191</v>
          </cell>
          <cell r="C462" t="str">
            <v>培德</v>
          </cell>
          <cell r="D462" t="str">
            <v>张氏良娘</v>
          </cell>
        </row>
        <row r="463">
          <cell r="A463" t="str">
            <v>M001199W01</v>
          </cell>
          <cell r="B463" t="str">
            <v>M001199</v>
          </cell>
          <cell r="C463" t="str">
            <v>善魁</v>
          </cell>
          <cell r="D463" t="str">
            <v>刘润珠</v>
          </cell>
        </row>
        <row r="464">
          <cell r="A464" t="str">
            <v>M001206W01</v>
          </cell>
          <cell r="B464" t="str">
            <v>M001206</v>
          </cell>
          <cell r="C464" t="str">
            <v>聚瑞</v>
          </cell>
          <cell r="D464" t="str">
            <v>颜如珠</v>
          </cell>
        </row>
        <row r="465">
          <cell r="A465" t="str">
            <v>M001207W01</v>
          </cell>
          <cell r="B465" t="str">
            <v>M001207</v>
          </cell>
          <cell r="C465" t="str">
            <v>嘉瑞</v>
          </cell>
          <cell r="D465" t="str">
            <v>杨多珠</v>
          </cell>
        </row>
        <row r="466">
          <cell r="A466" t="str">
            <v>M001208W01</v>
          </cell>
          <cell r="B466" t="str">
            <v>M001208</v>
          </cell>
          <cell r="C466" t="str">
            <v>园瑞</v>
          </cell>
          <cell r="D466" t="str">
            <v>彭意珠</v>
          </cell>
        </row>
        <row r="467">
          <cell r="A467" t="str">
            <v>M001209W01</v>
          </cell>
          <cell r="B467" t="str">
            <v>M001209</v>
          </cell>
          <cell r="C467" t="str">
            <v>邦瑞</v>
          </cell>
          <cell r="D467" t="str">
            <v>刘救珠</v>
          </cell>
        </row>
        <row r="468">
          <cell r="A468" t="str">
            <v>M001210W01</v>
          </cell>
          <cell r="B468" t="str">
            <v>M001210</v>
          </cell>
          <cell r="C468" t="str">
            <v>庭瑞</v>
          </cell>
          <cell r="D468" t="str">
            <v>陈意珠</v>
          </cell>
        </row>
        <row r="469">
          <cell r="A469" t="str">
            <v>M001211W01</v>
          </cell>
          <cell r="B469" t="str">
            <v>M001211</v>
          </cell>
          <cell r="C469" t="str">
            <v>禧瑞</v>
          </cell>
          <cell r="D469" t="str">
            <v>王黄英</v>
          </cell>
        </row>
        <row r="470">
          <cell r="A470" t="str">
            <v>M001212W01</v>
          </cell>
          <cell r="B470" t="str">
            <v>M001212</v>
          </cell>
          <cell r="C470" t="str">
            <v>祥瑞</v>
          </cell>
          <cell r="D470" t="str">
            <v>肖台英</v>
          </cell>
        </row>
        <row r="471">
          <cell r="A471" t="str">
            <v>M001213W01</v>
          </cell>
          <cell r="B471" t="str">
            <v>M001213</v>
          </cell>
          <cell r="C471" t="str">
            <v>助瑞</v>
          </cell>
          <cell r="D471" t="str">
            <v>刘掌形</v>
          </cell>
        </row>
        <row r="472">
          <cell r="A472" t="str">
            <v>M001214W01</v>
          </cell>
          <cell r="B472" t="str">
            <v>M001214</v>
          </cell>
          <cell r="C472" t="str">
            <v>楷秀</v>
          </cell>
          <cell r="D472" t="str">
            <v>刘美珠</v>
          </cell>
        </row>
        <row r="473">
          <cell r="A473" t="str">
            <v>M001217W01</v>
          </cell>
          <cell r="B473" t="str">
            <v>M001217</v>
          </cell>
          <cell r="C473" t="str">
            <v>明瑞</v>
          </cell>
          <cell r="D473" t="str">
            <v>朱坮妹</v>
          </cell>
        </row>
        <row r="474">
          <cell r="A474" t="str">
            <v>M001218W01</v>
          </cell>
          <cell r="B474" t="str">
            <v>M001218</v>
          </cell>
          <cell r="C474" t="str">
            <v>世福</v>
          </cell>
          <cell r="D474" t="str">
            <v>刘六珠</v>
          </cell>
        </row>
        <row r="475">
          <cell r="A475" t="str">
            <v>M001222W01</v>
          </cell>
          <cell r="B475" t="str">
            <v>M001222</v>
          </cell>
          <cell r="C475" t="str">
            <v>继美</v>
          </cell>
          <cell r="D475" t="str">
            <v>王春珠</v>
          </cell>
        </row>
        <row r="476">
          <cell r="A476" t="str">
            <v>M001224W01</v>
          </cell>
          <cell r="B476" t="str">
            <v>M001224</v>
          </cell>
          <cell r="C476" t="str">
            <v>忠美</v>
          </cell>
          <cell r="D476" t="str">
            <v>肖转珠</v>
          </cell>
        </row>
        <row r="477">
          <cell r="A477" t="str">
            <v>M001225W01</v>
          </cell>
          <cell r="B477" t="str">
            <v>M001225</v>
          </cell>
          <cell r="C477" t="str">
            <v>成美</v>
          </cell>
          <cell r="D477" t="str">
            <v>朱银珠</v>
          </cell>
        </row>
        <row r="478">
          <cell r="A478" t="str">
            <v>M001226W01</v>
          </cell>
          <cell r="B478" t="str">
            <v>M001226</v>
          </cell>
          <cell r="C478" t="str">
            <v>池美</v>
          </cell>
          <cell r="D478" t="str">
            <v>朱翠莹</v>
          </cell>
        </row>
        <row r="479">
          <cell r="A479" t="str">
            <v>M001227W01</v>
          </cell>
          <cell r="B479" t="str">
            <v>M001227</v>
          </cell>
          <cell r="C479" t="str">
            <v>子美</v>
          </cell>
          <cell r="D479" t="str">
            <v>彭爱珠</v>
          </cell>
        </row>
        <row r="480">
          <cell r="A480" t="str">
            <v>M001228W01</v>
          </cell>
          <cell r="B480" t="str">
            <v>M001228</v>
          </cell>
          <cell r="C480" t="str">
            <v>盛美</v>
          </cell>
          <cell r="D480" t="str">
            <v>朱年英</v>
          </cell>
        </row>
        <row r="481">
          <cell r="A481" t="str">
            <v>M001228W02</v>
          </cell>
          <cell r="B481" t="str">
            <v>M001228</v>
          </cell>
          <cell r="C481" t="str">
            <v>盛美</v>
          </cell>
          <cell r="D481" t="str">
            <v>王兰英</v>
          </cell>
        </row>
        <row r="482">
          <cell r="A482" t="str">
            <v>M001229W01</v>
          </cell>
          <cell r="B482" t="str">
            <v>M001229</v>
          </cell>
          <cell r="C482" t="str">
            <v>鉴美</v>
          </cell>
          <cell r="D482" t="str">
            <v>朱招英</v>
          </cell>
        </row>
        <row r="483">
          <cell r="A483" t="str">
            <v>M001230W01</v>
          </cell>
          <cell r="B483" t="str">
            <v>M001230</v>
          </cell>
          <cell r="C483" t="str">
            <v>稳美</v>
          </cell>
          <cell r="D483" t="str">
            <v>张招珠</v>
          </cell>
        </row>
        <row r="484">
          <cell r="A484" t="str">
            <v>M001231W01</v>
          </cell>
          <cell r="B484" t="str">
            <v>M001231</v>
          </cell>
          <cell r="C484" t="str">
            <v>双美</v>
          </cell>
          <cell r="D484" t="str">
            <v>刘金娥</v>
          </cell>
        </row>
        <row r="485">
          <cell r="A485" t="str">
            <v>M001232W01</v>
          </cell>
          <cell r="B485" t="str">
            <v>M001232</v>
          </cell>
          <cell r="C485" t="str">
            <v>汗美</v>
          </cell>
          <cell r="D485" t="str">
            <v>刘宝珠</v>
          </cell>
        </row>
        <row r="486">
          <cell r="A486" t="str">
            <v>M001233W01</v>
          </cell>
          <cell r="B486" t="str">
            <v>M001233</v>
          </cell>
          <cell r="C486" t="str">
            <v>天美</v>
          </cell>
          <cell r="D486" t="str">
            <v>刘九英</v>
          </cell>
        </row>
        <row r="487">
          <cell r="A487" t="str">
            <v>M001234W01</v>
          </cell>
          <cell r="B487" t="str">
            <v>M001234</v>
          </cell>
          <cell r="C487" t="str">
            <v>文美</v>
          </cell>
          <cell r="D487" t="str">
            <v>朱救英</v>
          </cell>
        </row>
        <row r="488">
          <cell r="A488" t="str">
            <v>M001236W01</v>
          </cell>
          <cell r="B488" t="str">
            <v>M001236</v>
          </cell>
          <cell r="C488" t="str">
            <v>富美</v>
          </cell>
          <cell r="D488" t="str">
            <v>刘招英</v>
          </cell>
        </row>
        <row r="489">
          <cell r="A489" t="str">
            <v>M001237W01</v>
          </cell>
          <cell r="B489" t="str">
            <v>M001237</v>
          </cell>
          <cell r="C489" t="str">
            <v>浩伍</v>
          </cell>
          <cell r="D489" t="str">
            <v>朱怡娘</v>
          </cell>
        </row>
        <row r="490">
          <cell r="A490" t="str">
            <v>M001238W01</v>
          </cell>
          <cell r="B490" t="str">
            <v>M001238</v>
          </cell>
          <cell r="C490" t="str">
            <v>载美</v>
          </cell>
          <cell r="D490" t="str">
            <v>刘菊英</v>
          </cell>
        </row>
        <row r="491">
          <cell r="A491" t="str">
            <v>M001239W01</v>
          </cell>
          <cell r="B491" t="str">
            <v>M001239</v>
          </cell>
          <cell r="C491" t="str">
            <v>集贤</v>
          </cell>
          <cell r="D491" t="str">
            <v>王早英</v>
          </cell>
        </row>
        <row r="492">
          <cell r="A492" t="str">
            <v>M001240W01</v>
          </cell>
          <cell r="B492" t="str">
            <v>M001240</v>
          </cell>
          <cell r="C492" t="str">
            <v>恩贤</v>
          </cell>
          <cell r="D492" t="str">
            <v>周端英</v>
          </cell>
        </row>
        <row r="493">
          <cell r="A493" t="str">
            <v>M001241W01</v>
          </cell>
          <cell r="B493" t="str">
            <v>M001241</v>
          </cell>
          <cell r="C493" t="str">
            <v>广贤</v>
          </cell>
          <cell r="D493" t="str">
            <v>刘有珠</v>
          </cell>
        </row>
        <row r="494">
          <cell r="A494" t="str">
            <v>M001242W01</v>
          </cell>
          <cell r="B494" t="str">
            <v>M001242</v>
          </cell>
          <cell r="C494" t="str">
            <v>砚贤</v>
          </cell>
          <cell r="D494" t="str">
            <v>刘告英</v>
          </cell>
        </row>
        <row r="495">
          <cell r="A495" t="str">
            <v>M001249W01</v>
          </cell>
          <cell r="B495" t="str">
            <v>M001249</v>
          </cell>
          <cell r="C495" t="str">
            <v>雄才</v>
          </cell>
          <cell r="D495" t="str">
            <v>周曼英</v>
          </cell>
        </row>
        <row r="496">
          <cell r="A496" t="str">
            <v>M001249W02</v>
          </cell>
          <cell r="B496" t="str">
            <v>M001249</v>
          </cell>
          <cell r="C496" t="str">
            <v>雄才</v>
          </cell>
          <cell r="D496" t="str">
            <v>刘三英</v>
          </cell>
        </row>
        <row r="497">
          <cell r="A497" t="str">
            <v>M001249W03</v>
          </cell>
          <cell r="B497" t="str">
            <v>M001249</v>
          </cell>
          <cell r="C497" t="str">
            <v>雄才</v>
          </cell>
          <cell r="D497" t="str">
            <v>刘告英</v>
          </cell>
        </row>
        <row r="498">
          <cell r="A498" t="str">
            <v>M001250W01</v>
          </cell>
          <cell r="B498" t="str">
            <v>M001250</v>
          </cell>
          <cell r="C498" t="str">
            <v>招才</v>
          </cell>
          <cell r="D498" t="str">
            <v>王秀兰</v>
          </cell>
        </row>
        <row r="499">
          <cell r="A499" t="str">
            <v>M001251W01</v>
          </cell>
          <cell r="B499" t="str">
            <v>M001251</v>
          </cell>
          <cell r="C499" t="str">
            <v>生才</v>
          </cell>
          <cell r="D499" t="str">
            <v>朱春英</v>
          </cell>
        </row>
        <row r="500">
          <cell r="A500" t="str">
            <v>M001252W01</v>
          </cell>
          <cell r="B500" t="str">
            <v>M001252</v>
          </cell>
          <cell r="C500" t="str">
            <v>发才</v>
          </cell>
          <cell r="D500" t="str">
            <v>张爱英</v>
          </cell>
        </row>
        <row r="501">
          <cell r="A501" t="str">
            <v>M001253W01</v>
          </cell>
          <cell r="B501" t="str">
            <v>M001253</v>
          </cell>
          <cell r="C501" t="str">
            <v>付才</v>
          </cell>
          <cell r="D501" t="str">
            <v>王积莲</v>
          </cell>
        </row>
        <row r="502">
          <cell r="A502" t="str">
            <v>M001254W01</v>
          </cell>
          <cell r="B502" t="str">
            <v>M001254</v>
          </cell>
          <cell r="C502" t="str">
            <v>有才</v>
          </cell>
          <cell r="D502" t="str">
            <v>刘书英</v>
          </cell>
        </row>
        <row r="503">
          <cell r="A503" t="str">
            <v>M001255W01</v>
          </cell>
          <cell r="B503" t="str">
            <v>M001255</v>
          </cell>
          <cell r="C503" t="str">
            <v>德才</v>
          </cell>
          <cell r="D503" t="str">
            <v>朱雪莲</v>
          </cell>
        </row>
        <row r="504">
          <cell r="A504" t="str">
            <v>M001256W01</v>
          </cell>
          <cell r="B504" t="str">
            <v>M001256</v>
          </cell>
          <cell r="C504" t="str">
            <v>现才</v>
          </cell>
          <cell r="D504" t="str">
            <v>刘丽萍</v>
          </cell>
        </row>
        <row r="505">
          <cell r="A505" t="str">
            <v>M001257W01</v>
          </cell>
          <cell r="B505" t="str">
            <v>M001257</v>
          </cell>
          <cell r="C505" t="str">
            <v>要才</v>
          </cell>
          <cell r="D505" t="str">
            <v>朱黄媛</v>
          </cell>
        </row>
        <row r="506">
          <cell r="A506" t="str">
            <v>M001259W01</v>
          </cell>
          <cell r="B506" t="str">
            <v>M001259</v>
          </cell>
          <cell r="C506" t="str">
            <v>爱才</v>
          </cell>
          <cell r="D506" t="str">
            <v>彭爱媛</v>
          </cell>
        </row>
        <row r="507">
          <cell r="A507" t="str">
            <v>M001260W01</v>
          </cell>
          <cell r="B507" t="str">
            <v>M001260</v>
          </cell>
          <cell r="C507" t="str">
            <v>贵才</v>
          </cell>
          <cell r="D507" t="str">
            <v>旷足英</v>
          </cell>
        </row>
        <row r="508">
          <cell r="A508" t="str">
            <v>M001261W01</v>
          </cell>
          <cell r="B508" t="str">
            <v>M001261</v>
          </cell>
          <cell r="C508" t="str">
            <v>林才</v>
          </cell>
          <cell r="D508" t="str">
            <v>刘仕莲</v>
          </cell>
        </row>
        <row r="509">
          <cell r="A509" t="str">
            <v>M001262W01</v>
          </cell>
          <cell r="B509" t="str">
            <v>M001262</v>
          </cell>
          <cell r="C509" t="str">
            <v>天才</v>
          </cell>
          <cell r="D509" t="str">
            <v>朱妹珍</v>
          </cell>
        </row>
        <row r="510">
          <cell r="A510" t="str">
            <v>M001263W01</v>
          </cell>
          <cell r="B510" t="str">
            <v>M001263</v>
          </cell>
          <cell r="C510" t="str">
            <v>建才</v>
          </cell>
          <cell r="D510" t="str">
            <v>颜小兰</v>
          </cell>
        </row>
        <row r="511">
          <cell r="A511" t="str">
            <v>M001264W01</v>
          </cell>
          <cell r="B511" t="str">
            <v>M001264</v>
          </cell>
          <cell r="C511" t="str">
            <v>国才</v>
          </cell>
          <cell r="D511" t="str">
            <v>刘凤英</v>
          </cell>
        </row>
        <row r="512">
          <cell r="A512" t="str">
            <v>M001266W01</v>
          </cell>
          <cell r="B512" t="str">
            <v>M001266</v>
          </cell>
          <cell r="C512" t="str">
            <v>兴才</v>
          </cell>
          <cell r="D512" t="str">
            <v>尹三英</v>
          </cell>
        </row>
        <row r="513">
          <cell r="A513" t="str">
            <v>M001267W01</v>
          </cell>
          <cell r="B513" t="str">
            <v>M001267</v>
          </cell>
          <cell r="C513" t="str">
            <v>万才</v>
          </cell>
          <cell r="D513" t="str">
            <v>刘员英</v>
          </cell>
        </row>
        <row r="514">
          <cell r="A514" t="str">
            <v>M001268W01</v>
          </cell>
          <cell r="B514" t="str">
            <v>M001268</v>
          </cell>
          <cell r="C514" t="str">
            <v>三才</v>
          </cell>
          <cell r="D514" t="str">
            <v>李新媛</v>
          </cell>
        </row>
        <row r="515">
          <cell r="A515" t="str">
            <v>M001269W01</v>
          </cell>
          <cell r="B515" t="str">
            <v>M001269</v>
          </cell>
          <cell r="C515" t="str">
            <v>永才</v>
          </cell>
          <cell r="D515" t="str">
            <v>刘全英</v>
          </cell>
        </row>
        <row r="516">
          <cell r="A516" t="str">
            <v>M001270W01</v>
          </cell>
          <cell r="B516" t="str">
            <v>M001270</v>
          </cell>
          <cell r="C516" t="str">
            <v>春才</v>
          </cell>
          <cell r="D516" t="str">
            <v>曾早英</v>
          </cell>
        </row>
        <row r="517">
          <cell r="A517" t="str">
            <v>M001271W01</v>
          </cell>
          <cell r="B517" t="str">
            <v>M001271</v>
          </cell>
          <cell r="C517" t="str">
            <v>冬才</v>
          </cell>
          <cell r="D517" t="str">
            <v>张桃珍</v>
          </cell>
        </row>
        <row r="518">
          <cell r="A518" t="str">
            <v>M001272W01</v>
          </cell>
          <cell r="B518" t="str">
            <v>M001272</v>
          </cell>
          <cell r="C518" t="str">
            <v>远才</v>
          </cell>
          <cell r="D518" t="str">
            <v>肖玉朵</v>
          </cell>
        </row>
        <row r="519">
          <cell r="A519" t="str">
            <v>M001273W01</v>
          </cell>
          <cell r="B519" t="str">
            <v>M001273</v>
          </cell>
          <cell r="C519" t="str">
            <v>江才</v>
          </cell>
          <cell r="D519" t="str">
            <v>朱四英</v>
          </cell>
        </row>
        <row r="520">
          <cell r="A520" t="str">
            <v>M001274W01</v>
          </cell>
          <cell r="B520" t="str">
            <v>M001274</v>
          </cell>
          <cell r="C520" t="str">
            <v>纳才</v>
          </cell>
          <cell r="D520" t="str">
            <v>彭页莲</v>
          </cell>
        </row>
        <row r="521">
          <cell r="A521" t="str">
            <v>M001275W01</v>
          </cell>
          <cell r="B521" t="str">
            <v>M001275</v>
          </cell>
          <cell r="C521" t="str">
            <v>储才</v>
          </cell>
          <cell r="D521" t="str">
            <v>赵青萍</v>
          </cell>
        </row>
        <row r="522">
          <cell r="A522" t="str">
            <v>M001276W01</v>
          </cell>
          <cell r="B522" t="str">
            <v>M001276</v>
          </cell>
          <cell r="C522" t="str">
            <v>库才</v>
          </cell>
          <cell r="D522" t="str">
            <v>潭慧瑛</v>
          </cell>
        </row>
        <row r="523">
          <cell r="A523" t="str">
            <v>M001277W01</v>
          </cell>
          <cell r="B523" t="str">
            <v>M001277</v>
          </cell>
          <cell r="C523" t="str">
            <v>星耀</v>
          </cell>
          <cell r="D523" t="str">
            <v>刘有英</v>
          </cell>
        </row>
        <row r="524">
          <cell r="A524" t="str">
            <v>M001278W01</v>
          </cell>
          <cell r="B524" t="str">
            <v>M001278</v>
          </cell>
          <cell r="C524" t="str">
            <v>景耀</v>
          </cell>
          <cell r="D524" t="str">
            <v>旷告英</v>
          </cell>
        </row>
        <row r="525">
          <cell r="A525" t="str">
            <v>M001279W01</v>
          </cell>
          <cell r="B525" t="str">
            <v>M001279</v>
          </cell>
          <cell r="C525" t="str">
            <v>再耀</v>
          </cell>
          <cell r="D525" t="str">
            <v>曾早英</v>
          </cell>
        </row>
        <row r="526">
          <cell r="A526" t="str">
            <v>M001280W01</v>
          </cell>
          <cell r="B526" t="str">
            <v>M001280</v>
          </cell>
          <cell r="C526" t="str">
            <v>开耀</v>
          </cell>
          <cell r="D526" t="str">
            <v>张斋珠</v>
          </cell>
        </row>
        <row r="527">
          <cell r="A527" t="str">
            <v>M001281W01</v>
          </cell>
          <cell r="B527" t="str">
            <v>M001281</v>
          </cell>
          <cell r="C527" t="str">
            <v>茂耀</v>
          </cell>
          <cell r="D527" t="str">
            <v>曾风姬</v>
          </cell>
        </row>
        <row r="528">
          <cell r="A528" t="str">
            <v>M001283W01</v>
          </cell>
          <cell r="B528" t="str">
            <v>M001283</v>
          </cell>
          <cell r="C528" t="str">
            <v>积耀</v>
          </cell>
          <cell r="D528" t="str">
            <v>彭桂珍</v>
          </cell>
        </row>
        <row r="529">
          <cell r="A529" t="str">
            <v>M001316W01</v>
          </cell>
          <cell r="B529" t="str">
            <v>M001316</v>
          </cell>
          <cell r="C529" t="str">
            <v>伴良</v>
          </cell>
          <cell r="D529" t="str">
            <v>罗梅香</v>
          </cell>
        </row>
        <row r="530">
          <cell r="A530" t="str">
            <v>M001320W01</v>
          </cell>
          <cell r="B530" t="str">
            <v>M001320</v>
          </cell>
          <cell r="C530" t="str">
            <v>文良</v>
          </cell>
          <cell r="D530" t="str">
            <v>朱风媛</v>
          </cell>
        </row>
        <row r="531">
          <cell r="A531" t="str">
            <v>M001321W01</v>
          </cell>
          <cell r="B531" t="str">
            <v>M001321</v>
          </cell>
          <cell r="C531" t="str">
            <v>志良</v>
          </cell>
          <cell r="D531" t="str">
            <v>朱细媛</v>
          </cell>
        </row>
        <row r="532">
          <cell r="A532" t="str">
            <v>M001322W01</v>
          </cell>
          <cell r="B532" t="str">
            <v>M001322</v>
          </cell>
          <cell r="C532" t="str">
            <v>柱良</v>
          </cell>
          <cell r="D532" t="str">
            <v>欧小霞</v>
          </cell>
        </row>
        <row r="533">
          <cell r="A533" t="str">
            <v>M001323W01</v>
          </cell>
          <cell r="B533" t="str">
            <v>M001323</v>
          </cell>
          <cell r="C533" t="str">
            <v>冬良</v>
          </cell>
          <cell r="D533" t="str">
            <v>罗冬英</v>
          </cell>
        </row>
        <row r="534">
          <cell r="A534" t="str">
            <v>M001324W01</v>
          </cell>
          <cell r="B534" t="str">
            <v>M001324</v>
          </cell>
          <cell r="C534" t="str">
            <v>金良</v>
          </cell>
          <cell r="D534" t="str">
            <v>汪芬燕</v>
          </cell>
        </row>
        <row r="535">
          <cell r="A535" t="str">
            <v>M001325W01</v>
          </cell>
          <cell r="B535" t="str">
            <v>M001325</v>
          </cell>
          <cell r="C535" t="str">
            <v>河良</v>
          </cell>
          <cell r="D535" t="str">
            <v>王琪</v>
          </cell>
        </row>
        <row r="536">
          <cell r="A536" t="str">
            <v>M001326W01</v>
          </cell>
          <cell r="B536" t="str">
            <v>M001326</v>
          </cell>
          <cell r="C536" t="str">
            <v>钢良</v>
          </cell>
          <cell r="D536" t="str">
            <v>李爱兰</v>
          </cell>
        </row>
        <row r="537">
          <cell r="A537" t="str">
            <v>M001327W01</v>
          </cell>
          <cell r="B537" t="str">
            <v>M001327</v>
          </cell>
          <cell r="C537" t="str">
            <v>清良</v>
          </cell>
          <cell r="D537" t="str">
            <v>朱爱平</v>
          </cell>
        </row>
        <row r="538">
          <cell r="A538" t="str">
            <v>M001333W01</v>
          </cell>
          <cell r="B538" t="str">
            <v>M001333</v>
          </cell>
          <cell r="C538" t="str">
            <v>正良</v>
          </cell>
          <cell r="D538" t="str">
            <v>陈海燕</v>
          </cell>
        </row>
        <row r="539">
          <cell r="A539" t="str">
            <v>M001428</v>
          </cell>
          <cell r="B539" t="str">
            <v>M001335</v>
          </cell>
          <cell r="C539" t="str">
            <v>健良</v>
          </cell>
          <cell r="D539" t="str">
            <v>腊艳</v>
          </cell>
        </row>
        <row r="540">
          <cell r="A540" t="str">
            <v>M001341W01</v>
          </cell>
          <cell r="B540" t="str">
            <v>M001341</v>
          </cell>
          <cell r="C540" t="str">
            <v>峰</v>
          </cell>
          <cell r="D540" t="str">
            <v>朱云芬</v>
          </cell>
        </row>
        <row r="541">
          <cell r="A541" t="str">
            <v>M001342W01</v>
          </cell>
          <cell r="B541" t="str">
            <v>M001342</v>
          </cell>
          <cell r="C541" t="str">
            <v>钟良</v>
          </cell>
          <cell r="D541" t="str">
            <v>刘平燕</v>
          </cell>
        </row>
        <row r="542">
          <cell r="A542" t="str">
            <v>M001344W01</v>
          </cell>
          <cell r="B542" t="str">
            <v>M001344</v>
          </cell>
          <cell r="C542" t="str">
            <v>梅良</v>
          </cell>
          <cell r="D542" t="str">
            <v>谢苏花</v>
          </cell>
        </row>
        <row r="543">
          <cell r="A543" t="str">
            <v>M001345W01</v>
          </cell>
          <cell r="B543" t="str">
            <v>M001345</v>
          </cell>
          <cell r="C543" t="str">
            <v>庆良</v>
          </cell>
          <cell r="D543" t="str">
            <v>胡招凤</v>
          </cell>
        </row>
        <row r="544">
          <cell r="A544" t="str">
            <v>M001346W01</v>
          </cell>
          <cell r="B544" t="str">
            <v>M001346</v>
          </cell>
          <cell r="C544" t="str">
            <v>海良</v>
          </cell>
          <cell r="D544" t="str">
            <v>刘林英</v>
          </cell>
        </row>
        <row r="545">
          <cell r="A545" t="str">
            <v>M001347W01</v>
          </cell>
          <cell r="B545" t="str">
            <v>M001347</v>
          </cell>
          <cell r="C545" t="str">
            <v>湖良</v>
          </cell>
          <cell r="D545" t="str">
            <v>王有英</v>
          </cell>
        </row>
        <row r="546">
          <cell r="A546" t="str">
            <v>M001347W02</v>
          </cell>
          <cell r="B546" t="str">
            <v>M001347</v>
          </cell>
          <cell r="C546" t="str">
            <v>湖良</v>
          </cell>
          <cell r="D546" t="str">
            <v>刘桂英</v>
          </cell>
        </row>
        <row r="547">
          <cell r="A547" t="str">
            <v>M001348W01</v>
          </cell>
          <cell r="B547" t="str">
            <v>M001348</v>
          </cell>
          <cell r="C547" t="str">
            <v>余良</v>
          </cell>
          <cell r="D547" t="str">
            <v>张桂珍</v>
          </cell>
        </row>
        <row r="548">
          <cell r="A548" t="str">
            <v>M001350W01</v>
          </cell>
          <cell r="B548" t="str">
            <v>M001350</v>
          </cell>
          <cell r="C548" t="str">
            <v>怡顺</v>
          </cell>
          <cell r="D548" t="str">
            <v>刘多莲</v>
          </cell>
        </row>
        <row r="549">
          <cell r="A549" t="str">
            <v>M001364</v>
          </cell>
          <cell r="B549" t="str">
            <v>M001351</v>
          </cell>
          <cell r="C549" t="str">
            <v>兵顺</v>
          </cell>
          <cell r="D549" t="str">
            <v>小媛</v>
          </cell>
        </row>
        <row r="550">
          <cell r="A550" t="str">
            <v>M001352W01</v>
          </cell>
          <cell r="B550" t="str">
            <v>M001352</v>
          </cell>
          <cell r="C550" t="str">
            <v>炎顺</v>
          </cell>
          <cell r="D550" t="str">
            <v>王万英</v>
          </cell>
        </row>
        <row r="551">
          <cell r="A551" t="str">
            <v>M001353W01</v>
          </cell>
          <cell r="B551" t="str">
            <v>M001353</v>
          </cell>
          <cell r="C551" t="str">
            <v>足顺</v>
          </cell>
          <cell r="D551" t="str">
            <v>罗小群</v>
          </cell>
        </row>
        <row r="552">
          <cell r="A552" t="str">
            <v>M001389</v>
          </cell>
          <cell r="B552" t="str">
            <v>M001354</v>
          </cell>
          <cell r="C552" t="str">
            <v>铁顺</v>
          </cell>
          <cell r="D552" t="str">
            <v>花兰</v>
          </cell>
        </row>
        <row r="553">
          <cell r="A553" t="str">
            <v>M001357W01</v>
          </cell>
          <cell r="B553" t="str">
            <v>M001357</v>
          </cell>
          <cell r="C553" t="str">
            <v>清顺</v>
          </cell>
          <cell r="D553" t="str">
            <v>刘月英</v>
          </cell>
        </row>
        <row r="554">
          <cell r="A554" t="str">
            <v>M001358W01</v>
          </cell>
          <cell r="B554" t="str">
            <v>M001358</v>
          </cell>
          <cell r="C554" t="str">
            <v>森顺</v>
          </cell>
          <cell r="D554" t="str">
            <v>刘晓平</v>
          </cell>
        </row>
        <row r="555">
          <cell r="A555" t="str">
            <v>M001359W01</v>
          </cell>
          <cell r="B555" t="str">
            <v>M001359</v>
          </cell>
          <cell r="C555" t="str">
            <v>长顺</v>
          </cell>
          <cell r="D555" t="str">
            <v>彭晓珠</v>
          </cell>
        </row>
        <row r="556">
          <cell r="A556" t="str">
            <v>M001361W01</v>
          </cell>
          <cell r="B556" t="str">
            <v>M001361</v>
          </cell>
          <cell r="C556" t="str">
            <v>富顺</v>
          </cell>
          <cell r="D556" t="str">
            <v>颜贵珍</v>
          </cell>
        </row>
        <row r="557">
          <cell r="A557" t="str">
            <v>M000464</v>
          </cell>
          <cell r="B557" t="str">
            <v>M001402</v>
          </cell>
          <cell r="C557" t="str">
            <v>志军</v>
          </cell>
          <cell r="D557" t="str">
            <v>红梅</v>
          </cell>
        </row>
        <row r="558">
          <cell r="A558" t="str">
            <v>M001403W01</v>
          </cell>
          <cell r="B558" t="str">
            <v>M001403</v>
          </cell>
          <cell r="C558" t="str">
            <v>志闯</v>
          </cell>
          <cell r="D558" t="str">
            <v>龙海燕</v>
          </cell>
        </row>
        <row r="559">
          <cell r="A559" t="str">
            <v>M001415W01</v>
          </cell>
          <cell r="B559" t="str">
            <v>M001415</v>
          </cell>
          <cell r="C559" t="str">
            <v>志坚</v>
          </cell>
          <cell r="D559" t="str">
            <v>邹小婷</v>
          </cell>
        </row>
        <row r="560">
          <cell r="A560" t="str">
            <v>M001416W01</v>
          </cell>
          <cell r="B560" t="str">
            <v>M001416</v>
          </cell>
          <cell r="C560" t="str">
            <v>志兵</v>
          </cell>
          <cell r="D560" t="str">
            <v>胡迎</v>
          </cell>
        </row>
        <row r="561">
          <cell r="A561" t="str">
            <v>ZA0265</v>
          </cell>
          <cell r="B561" t="str">
            <v>M001417</v>
          </cell>
          <cell r="C561" t="str">
            <v>志标</v>
          </cell>
          <cell r="D561" t="str">
            <v>梅兰</v>
          </cell>
        </row>
        <row r="562">
          <cell r="A562" t="str">
            <v>M001418W01</v>
          </cell>
          <cell r="B562" t="str">
            <v>M001418</v>
          </cell>
          <cell r="C562" t="str">
            <v>志辉</v>
          </cell>
          <cell r="D562" t="str">
            <v>李红霞</v>
          </cell>
        </row>
        <row r="563">
          <cell r="A563" t="str">
            <v>M001419W01</v>
          </cell>
          <cell r="B563" t="str">
            <v>M001419</v>
          </cell>
          <cell r="C563" t="str">
            <v>志成</v>
          </cell>
          <cell r="D563" t="str">
            <v>唐莲花</v>
          </cell>
        </row>
        <row r="564">
          <cell r="A564" t="str">
            <v>ZA0001W01</v>
          </cell>
          <cell r="B564" t="str">
            <v>ZA0001</v>
          </cell>
          <cell r="C564" t="str">
            <v>芬</v>
          </cell>
          <cell r="D564" t="str">
            <v>左氏</v>
          </cell>
        </row>
        <row r="565">
          <cell r="A565" t="str">
            <v>ZA0002W01</v>
          </cell>
          <cell r="B565" t="str">
            <v>ZA0002</v>
          </cell>
          <cell r="C565" t="str">
            <v>髦受</v>
          </cell>
          <cell r="D565" t="str">
            <v>刘氏</v>
          </cell>
        </row>
        <row r="566">
          <cell r="A566" t="str">
            <v>ZA0003W01</v>
          </cell>
          <cell r="B566" t="str">
            <v>ZA0003</v>
          </cell>
          <cell r="C566" t="str">
            <v>素先</v>
          </cell>
          <cell r="D566" t="str">
            <v>谢氏</v>
          </cell>
        </row>
        <row r="567">
          <cell r="A567" t="str">
            <v>ZA0005W01</v>
          </cell>
          <cell r="B567" t="str">
            <v>ZA0005</v>
          </cell>
          <cell r="C567" t="str">
            <v>贵鸾</v>
          </cell>
          <cell r="D567" t="str">
            <v>胡氏</v>
          </cell>
        </row>
        <row r="568">
          <cell r="A568" t="str">
            <v>ZA0006W01</v>
          </cell>
          <cell r="B568" t="str">
            <v>ZA0006</v>
          </cell>
          <cell r="C568" t="str">
            <v>宜兴</v>
          </cell>
          <cell r="D568" t="str">
            <v>刘氏</v>
          </cell>
        </row>
        <row r="569">
          <cell r="A569" t="str">
            <v>ZA0007W01</v>
          </cell>
          <cell r="B569" t="str">
            <v>ZA0007</v>
          </cell>
          <cell r="C569" t="str">
            <v>宜定</v>
          </cell>
          <cell r="D569" t="str">
            <v>唐氏</v>
          </cell>
        </row>
        <row r="570">
          <cell r="A570" t="str">
            <v>ZA0010W01</v>
          </cell>
          <cell r="B570" t="str">
            <v>ZA0010</v>
          </cell>
          <cell r="C570" t="str">
            <v>宜富</v>
          </cell>
          <cell r="D570" t="str">
            <v>刘氏</v>
          </cell>
        </row>
        <row r="571">
          <cell r="A571" t="str">
            <v>ZA0011W01</v>
          </cell>
          <cell r="B571" t="str">
            <v>ZA0011</v>
          </cell>
          <cell r="C571" t="str">
            <v>通显</v>
          </cell>
          <cell r="D571" t="str">
            <v>戴氏</v>
          </cell>
        </row>
        <row r="572">
          <cell r="A572" t="str">
            <v>ZA0016W01</v>
          </cell>
          <cell r="B572" t="str">
            <v>ZA0016</v>
          </cell>
          <cell r="C572" t="str">
            <v>力凰</v>
          </cell>
          <cell r="D572" t="str">
            <v>彭氏</v>
          </cell>
        </row>
        <row r="573">
          <cell r="A573" t="str">
            <v>ZA0017W01</v>
          </cell>
          <cell r="B573" t="str">
            <v>ZA0017</v>
          </cell>
          <cell r="C573" t="str">
            <v>力完</v>
          </cell>
          <cell r="D573" t="str">
            <v>杨氏</v>
          </cell>
        </row>
        <row r="574">
          <cell r="A574" t="str">
            <v>ZA0018W01</v>
          </cell>
          <cell r="B574" t="str">
            <v>ZA0018</v>
          </cell>
          <cell r="C574" t="str">
            <v>力全</v>
          </cell>
          <cell r="D574" t="str">
            <v>胡氏</v>
          </cell>
        </row>
        <row r="575">
          <cell r="A575" t="str">
            <v>ZA0020W01</v>
          </cell>
          <cell r="B575" t="str">
            <v>ZA0020</v>
          </cell>
          <cell r="C575" t="str">
            <v>清湖</v>
          </cell>
          <cell r="D575" t="str">
            <v>肖氏</v>
          </cell>
        </row>
        <row r="576">
          <cell r="A576" t="str">
            <v>ZA0021W01</v>
          </cell>
          <cell r="B576" t="str">
            <v>ZA0021</v>
          </cell>
          <cell r="C576" t="str">
            <v>清海</v>
          </cell>
          <cell r="D576" t="str">
            <v>戴氏</v>
          </cell>
        </row>
        <row r="577">
          <cell r="A577" t="str">
            <v>ZA0022W01</v>
          </cell>
          <cell r="B577" t="str">
            <v>ZA0022</v>
          </cell>
          <cell r="C577" t="str">
            <v>清河</v>
          </cell>
          <cell r="D577" t="str">
            <v>戴氏</v>
          </cell>
        </row>
        <row r="578">
          <cell r="A578" t="str">
            <v>ZA0023W01</v>
          </cell>
          <cell r="B578" t="str">
            <v>ZA0023</v>
          </cell>
          <cell r="C578" t="str">
            <v>清潮</v>
          </cell>
          <cell r="D578" t="str">
            <v>刘氏</v>
          </cell>
        </row>
        <row r="579">
          <cell r="A579" t="str">
            <v>ZA0024W01</v>
          </cell>
          <cell r="B579" t="str">
            <v>ZA0024</v>
          </cell>
          <cell r="C579" t="str">
            <v>清池</v>
          </cell>
          <cell r="D579" t="str">
            <v>刘氏</v>
          </cell>
        </row>
        <row r="580">
          <cell r="A580" t="str">
            <v>ZA0025W01</v>
          </cell>
          <cell r="B580" t="str">
            <v>ZA0025</v>
          </cell>
          <cell r="C580" t="str">
            <v>清淮</v>
          </cell>
          <cell r="D580" t="str">
            <v>穰氏</v>
          </cell>
        </row>
        <row r="581">
          <cell r="A581" t="str">
            <v>ZA0028W01</v>
          </cell>
          <cell r="B581" t="str">
            <v>ZA0028</v>
          </cell>
          <cell r="C581" t="str">
            <v>清洋</v>
          </cell>
          <cell r="D581" t="str">
            <v>段氏</v>
          </cell>
        </row>
        <row r="582">
          <cell r="A582" t="str">
            <v>ZA0029W01</v>
          </cell>
          <cell r="B582" t="str">
            <v>ZA0029</v>
          </cell>
          <cell r="C582" t="str">
            <v>念一</v>
          </cell>
          <cell r="D582" t="str">
            <v>戴氏</v>
          </cell>
        </row>
        <row r="583">
          <cell r="A583" t="str">
            <v>ZA0031W01</v>
          </cell>
          <cell r="B583" t="str">
            <v>ZA0031</v>
          </cell>
          <cell r="C583" t="str">
            <v>袭克</v>
          </cell>
          <cell r="D583" t="str">
            <v>刘氏</v>
          </cell>
        </row>
        <row r="584">
          <cell r="A584" t="str">
            <v>ZA0032W01</v>
          </cell>
          <cell r="B584" t="str">
            <v>ZA0032</v>
          </cell>
          <cell r="C584" t="str">
            <v>受天</v>
          </cell>
          <cell r="D584" t="str">
            <v>李氏</v>
          </cell>
        </row>
        <row r="585">
          <cell r="A585" t="str">
            <v>ZA0033W01</v>
          </cell>
          <cell r="B585" t="str">
            <v>ZA0033</v>
          </cell>
          <cell r="C585" t="str">
            <v>明视</v>
          </cell>
          <cell r="D585" t="str">
            <v>刘氏</v>
          </cell>
        </row>
        <row r="586">
          <cell r="A586" t="str">
            <v>ZA0036W01</v>
          </cell>
          <cell r="B586" t="str">
            <v>ZA0036</v>
          </cell>
          <cell r="C586" t="str">
            <v>明事</v>
          </cell>
          <cell r="D586" t="str">
            <v>廖氏</v>
          </cell>
        </row>
        <row r="587">
          <cell r="A587" t="str">
            <v>ZA0037W01</v>
          </cell>
          <cell r="B587" t="str">
            <v>ZA0037</v>
          </cell>
          <cell r="C587" t="str">
            <v>明动</v>
          </cell>
          <cell r="D587" t="str">
            <v>刘氏</v>
          </cell>
        </row>
        <row r="588">
          <cell r="A588" t="str">
            <v>ZA0038W01</v>
          </cell>
          <cell r="B588" t="str">
            <v>ZA0038</v>
          </cell>
          <cell r="C588" t="str">
            <v>念三</v>
          </cell>
          <cell r="D588" t="str">
            <v>肖氏</v>
          </cell>
        </row>
        <row r="589">
          <cell r="A589" t="str">
            <v>ZA0039W01</v>
          </cell>
          <cell r="B589" t="str">
            <v>ZA0039</v>
          </cell>
          <cell r="C589" t="str">
            <v>念四</v>
          </cell>
          <cell r="D589" t="str">
            <v>王氏</v>
          </cell>
        </row>
        <row r="590">
          <cell r="A590" t="str">
            <v>ZA0040W01</v>
          </cell>
          <cell r="B590" t="str">
            <v>ZA0040</v>
          </cell>
          <cell r="C590" t="str">
            <v>念五</v>
          </cell>
          <cell r="D590" t="str">
            <v>刘氏</v>
          </cell>
        </row>
        <row r="591">
          <cell r="A591" t="str">
            <v>ZA0041W01</v>
          </cell>
          <cell r="B591" t="str">
            <v>ZA0041</v>
          </cell>
          <cell r="C591" t="str">
            <v>念六</v>
          </cell>
          <cell r="D591" t="str">
            <v>刘氏</v>
          </cell>
        </row>
        <row r="592">
          <cell r="A592" t="str">
            <v>ZA0042W01</v>
          </cell>
          <cell r="B592" t="str">
            <v>ZA0042</v>
          </cell>
          <cell r="C592" t="str">
            <v>念七</v>
          </cell>
          <cell r="D592" t="str">
            <v>黄氏</v>
          </cell>
        </row>
        <row r="593">
          <cell r="A593" t="str">
            <v>ZA0043W01</v>
          </cell>
          <cell r="B593" t="str">
            <v>ZA0043</v>
          </cell>
          <cell r="C593" t="str">
            <v>念八</v>
          </cell>
          <cell r="D593" t="str">
            <v>高氏</v>
          </cell>
        </row>
        <row r="594">
          <cell r="A594" t="str">
            <v>ZA0044W01</v>
          </cell>
          <cell r="B594" t="str">
            <v>ZA0044</v>
          </cell>
          <cell r="C594" t="str">
            <v>念源</v>
          </cell>
          <cell r="D594" t="str">
            <v>彭氏</v>
          </cell>
        </row>
        <row r="595">
          <cell r="A595" t="str">
            <v>ZA0045W01</v>
          </cell>
          <cell r="B595" t="str">
            <v>ZA0045</v>
          </cell>
          <cell r="C595" t="str">
            <v>念言</v>
          </cell>
          <cell r="D595" t="str">
            <v>彭氏</v>
          </cell>
        </row>
        <row r="596">
          <cell r="A596" t="str">
            <v>ZA0046W01</v>
          </cell>
          <cell r="B596" t="str">
            <v>ZA0046</v>
          </cell>
          <cell r="C596" t="str">
            <v>元靖</v>
          </cell>
          <cell r="D596" t="str">
            <v>刘氏</v>
          </cell>
        </row>
        <row r="597">
          <cell r="A597" t="str">
            <v>ZA0046W02</v>
          </cell>
          <cell r="B597" t="str">
            <v>ZA0046</v>
          </cell>
          <cell r="C597" t="str">
            <v>元靖</v>
          </cell>
          <cell r="D597" t="str">
            <v>曾氏</v>
          </cell>
        </row>
        <row r="598">
          <cell r="A598" t="str">
            <v>ZA0048W01</v>
          </cell>
          <cell r="B598" t="str">
            <v>ZA0048</v>
          </cell>
          <cell r="C598" t="str">
            <v>君益</v>
          </cell>
          <cell r="D598" t="str">
            <v>贺氏</v>
          </cell>
        </row>
        <row r="599">
          <cell r="A599" t="str">
            <v>ZA0050W01</v>
          </cell>
          <cell r="B599" t="str">
            <v>ZA0050</v>
          </cell>
          <cell r="C599" t="str">
            <v>亁遇</v>
          </cell>
          <cell r="D599" t="str">
            <v>肖氏</v>
          </cell>
        </row>
        <row r="600">
          <cell r="A600" t="str">
            <v>ZA0051W01</v>
          </cell>
          <cell r="B600" t="str">
            <v>ZA0051</v>
          </cell>
          <cell r="C600" t="str">
            <v>亁逊</v>
          </cell>
          <cell r="D600" t="str">
            <v>彭氏</v>
          </cell>
        </row>
        <row r="601">
          <cell r="A601" t="str">
            <v>ZA0056W01</v>
          </cell>
          <cell r="B601" t="str">
            <v>ZA0056</v>
          </cell>
          <cell r="C601" t="str">
            <v>亁逵</v>
          </cell>
          <cell r="D601" t="str">
            <v>彭氏</v>
          </cell>
        </row>
        <row r="602">
          <cell r="A602" t="str">
            <v>ZA0058W01</v>
          </cell>
          <cell r="B602" t="str">
            <v>ZA0058</v>
          </cell>
          <cell r="C602" t="str">
            <v>亁通</v>
          </cell>
          <cell r="D602" t="str">
            <v>某氏</v>
          </cell>
        </row>
        <row r="603">
          <cell r="A603" t="str">
            <v>ZA0059W01</v>
          </cell>
          <cell r="B603" t="str">
            <v>ZA0059</v>
          </cell>
          <cell r="C603" t="str">
            <v>亁近</v>
          </cell>
          <cell r="D603" t="str">
            <v>刘氏</v>
          </cell>
        </row>
        <row r="604">
          <cell r="A604" t="str">
            <v>ZA0060W01</v>
          </cell>
          <cell r="B604" t="str">
            <v>ZA0060</v>
          </cell>
          <cell r="C604" t="str">
            <v>亁远</v>
          </cell>
          <cell r="D604" t="str">
            <v>刘氏</v>
          </cell>
        </row>
        <row r="605">
          <cell r="A605" t="str">
            <v>ZA0061W01</v>
          </cell>
          <cell r="B605" t="str">
            <v>ZA0061</v>
          </cell>
          <cell r="C605" t="str">
            <v>亁运</v>
          </cell>
          <cell r="D605" t="str">
            <v>某氏</v>
          </cell>
        </row>
        <row r="606">
          <cell r="A606" t="str">
            <v>ZA0062W01</v>
          </cell>
          <cell r="B606" t="str">
            <v>ZA0062</v>
          </cell>
          <cell r="C606" t="str">
            <v>回</v>
          </cell>
          <cell r="D606" t="str">
            <v>朱氏</v>
          </cell>
        </row>
        <row r="607">
          <cell r="A607" t="str">
            <v>ZA0063W01</v>
          </cell>
          <cell r="B607" t="str">
            <v>ZA0063</v>
          </cell>
          <cell r="C607" t="str">
            <v>亁壬</v>
          </cell>
          <cell r="D607" t="str">
            <v>杨氏</v>
          </cell>
        </row>
        <row r="608">
          <cell r="A608" t="str">
            <v>ZA0064W01</v>
          </cell>
          <cell r="B608" t="str">
            <v>ZA0064</v>
          </cell>
          <cell r="C608" t="str">
            <v>亁毅</v>
          </cell>
          <cell r="D608" t="str">
            <v>周氏</v>
          </cell>
        </row>
        <row r="609">
          <cell r="A609" t="str">
            <v>ZA0065W01</v>
          </cell>
          <cell r="B609" t="str">
            <v>ZA0065</v>
          </cell>
          <cell r="C609" t="str">
            <v>亁智</v>
          </cell>
          <cell r="D609" t="str">
            <v>刘氏</v>
          </cell>
        </row>
        <row r="610">
          <cell r="A610" t="str">
            <v>ZA0066W01</v>
          </cell>
          <cell r="B610" t="str">
            <v>ZA0066</v>
          </cell>
          <cell r="C610" t="str">
            <v>春荣</v>
          </cell>
          <cell r="D610" t="str">
            <v>刘氏</v>
          </cell>
        </row>
        <row r="611">
          <cell r="A611" t="str">
            <v>ZA0066W02</v>
          </cell>
          <cell r="B611" t="str">
            <v>ZA0066</v>
          </cell>
          <cell r="C611" t="str">
            <v>春荣</v>
          </cell>
          <cell r="D611" t="str">
            <v>曾氏</v>
          </cell>
        </row>
        <row r="612">
          <cell r="A612" t="str">
            <v>ZA0067W01</v>
          </cell>
          <cell r="B612" t="str">
            <v>ZA0067</v>
          </cell>
          <cell r="C612" t="str">
            <v>夏华</v>
          </cell>
          <cell r="D612" t="str">
            <v>康氏</v>
          </cell>
        </row>
        <row r="613">
          <cell r="A613" t="str">
            <v>ZA0068W01</v>
          </cell>
          <cell r="B613" t="str">
            <v>ZA0068</v>
          </cell>
          <cell r="C613" t="str">
            <v>秋富</v>
          </cell>
          <cell r="D613" t="str">
            <v>刘氏</v>
          </cell>
        </row>
        <row r="614">
          <cell r="A614" t="str">
            <v>ZA0069W01</v>
          </cell>
          <cell r="B614" t="str">
            <v>ZA0069</v>
          </cell>
          <cell r="C614" t="str">
            <v>冬贵</v>
          </cell>
          <cell r="D614" t="str">
            <v>刘氏</v>
          </cell>
        </row>
        <row r="615">
          <cell r="A615" t="str">
            <v>ZA0070W01</v>
          </cell>
          <cell r="B615" t="str">
            <v>ZA0070</v>
          </cell>
          <cell r="C615" t="str">
            <v>固珠</v>
          </cell>
          <cell r="D615" t="str">
            <v>杨氏</v>
          </cell>
        </row>
        <row r="616">
          <cell r="A616" t="str">
            <v>ZA0071W01</v>
          </cell>
          <cell r="B616" t="str">
            <v>ZA0071</v>
          </cell>
          <cell r="C616" t="str">
            <v>国珠</v>
          </cell>
          <cell r="D616" t="str">
            <v>樊氏</v>
          </cell>
        </row>
        <row r="617">
          <cell r="A617" t="str">
            <v>ZA0081W01</v>
          </cell>
          <cell r="B617" t="str">
            <v>ZA0081</v>
          </cell>
          <cell r="C617" t="str">
            <v>善镀</v>
          </cell>
          <cell r="D617" t="str">
            <v>肖氏</v>
          </cell>
        </row>
        <row r="618">
          <cell r="A618" t="str">
            <v>ZA0082W01</v>
          </cell>
          <cell r="B618" t="str">
            <v>ZA0082</v>
          </cell>
          <cell r="C618" t="str">
            <v>善铉</v>
          </cell>
          <cell r="D618" t="str">
            <v>刘氏</v>
          </cell>
        </row>
        <row r="619">
          <cell r="A619" t="str">
            <v>ZA0083W01</v>
          </cell>
          <cell r="B619" t="str">
            <v>ZA0083</v>
          </cell>
          <cell r="C619" t="str">
            <v>善钺</v>
          </cell>
          <cell r="D619" t="str">
            <v>刘氏</v>
          </cell>
        </row>
        <row r="620">
          <cell r="A620" t="str">
            <v>ZA0084W01</v>
          </cell>
          <cell r="B620" t="str">
            <v>ZA0084</v>
          </cell>
          <cell r="C620" t="str">
            <v>善锦</v>
          </cell>
          <cell r="D620" t="str">
            <v>王氏</v>
          </cell>
        </row>
        <row r="621">
          <cell r="A621" t="str">
            <v>ZA0085W01</v>
          </cell>
          <cell r="B621" t="str">
            <v>ZA0085</v>
          </cell>
          <cell r="C621" t="str">
            <v>善任</v>
          </cell>
          <cell r="D621" t="str">
            <v>肖氏</v>
          </cell>
        </row>
        <row r="622">
          <cell r="A622" t="str">
            <v>ZA0086W01</v>
          </cell>
          <cell r="B622" t="str">
            <v>ZA0086</v>
          </cell>
          <cell r="C622" t="str">
            <v>善铨</v>
          </cell>
          <cell r="D622" t="str">
            <v>肖氏</v>
          </cell>
        </row>
        <row r="623">
          <cell r="A623" t="str">
            <v>ZA0087W01</v>
          </cell>
          <cell r="B623" t="str">
            <v>ZA0087</v>
          </cell>
          <cell r="C623" t="str">
            <v>善隆</v>
          </cell>
          <cell r="D623" t="str">
            <v>朱氏</v>
          </cell>
        </row>
        <row r="624">
          <cell r="A624" t="str">
            <v>ZA0088W01</v>
          </cell>
          <cell r="B624" t="str">
            <v>ZA0088</v>
          </cell>
          <cell r="C624" t="str">
            <v>善望</v>
          </cell>
          <cell r="D624" t="str">
            <v>刘氏</v>
          </cell>
        </row>
        <row r="625">
          <cell r="A625" t="str">
            <v>ZA0089W01</v>
          </cell>
          <cell r="B625" t="str">
            <v>ZA0089</v>
          </cell>
          <cell r="C625" t="str">
            <v>善镗</v>
          </cell>
          <cell r="D625" t="str">
            <v>彭氏</v>
          </cell>
        </row>
        <row r="626">
          <cell r="A626" t="str">
            <v>ZA0090W01</v>
          </cell>
          <cell r="B626" t="str">
            <v>ZA0090</v>
          </cell>
          <cell r="C626" t="str">
            <v>善仁</v>
          </cell>
          <cell r="D626" t="str">
            <v>曾氏</v>
          </cell>
        </row>
        <row r="627">
          <cell r="A627" t="str">
            <v>ZA0091W01</v>
          </cell>
          <cell r="B627" t="str">
            <v>ZA0091</v>
          </cell>
          <cell r="C627" t="str">
            <v>善义</v>
          </cell>
          <cell r="D627" t="str">
            <v>刘氏</v>
          </cell>
        </row>
        <row r="628">
          <cell r="A628" t="str">
            <v>ZA0092W01</v>
          </cell>
          <cell r="B628" t="str">
            <v>ZA0092</v>
          </cell>
          <cell r="C628" t="str">
            <v>善礼</v>
          </cell>
          <cell r="D628" t="str">
            <v>刘氏</v>
          </cell>
        </row>
        <row r="629">
          <cell r="A629" t="str">
            <v>ZA0093W01</v>
          </cell>
          <cell r="B629" t="str">
            <v>ZA0093</v>
          </cell>
          <cell r="C629" t="str">
            <v>善智</v>
          </cell>
          <cell r="D629" t="str">
            <v>寗氏</v>
          </cell>
        </row>
        <row r="630">
          <cell r="A630" t="str">
            <v>ZA0094W01</v>
          </cell>
          <cell r="B630" t="str">
            <v>ZA0094</v>
          </cell>
          <cell r="C630" t="str">
            <v>善信</v>
          </cell>
          <cell r="D630" t="str">
            <v>肖氏</v>
          </cell>
        </row>
        <row r="631">
          <cell r="A631" t="str">
            <v>ZA0094W02</v>
          </cell>
          <cell r="B631" t="str">
            <v>ZA0094</v>
          </cell>
          <cell r="C631" t="str">
            <v>善信</v>
          </cell>
          <cell r="D631" t="str">
            <v>周氏</v>
          </cell>
        </row>
        <row r="632">
          <cell r="A632" t="str">
            <v>ZA0097W01</v>
          </cell>
          <cell r="B632" t="str">
            <v>ZA0097</v>
          </cell>
          <cell r="C632" t="str">
            <v>垄员</v>
          </cell>
          <cell r="D632" t="str">
            <v>何氏</v>
          </cell>
        </row>
        <row r="633">
          <cell r="A633" t="str">
            <v>ZA0102W01</v>
          </cell>
          <cell r="B633" t="str">
            <v>ZA0102</v>
          </cell>
          <cell r="C633" t="str">
            <v>文焯</v>
          </cell>
          <cell r="D633" t="str">
            <v>彭氏</v>
          </cell>
        </row>
        <row r="634">
          <cell r="A634" t="str">
            <v>ZA0103W01</v>
          </cell>
          <cell r="B634" t="str">
            <v>ZA0103</v>
          </cell>
          <cell r="C634" t="str">
            <v>文煓</v>
          </cell>
          <cell r="D634" t="str">
            <v>刘氏</v>
          </cell>
        </row>
        <row r="635">
          <cell r="A635" t="str">
            <v>ZA0104W01</v>
          </cell>
          <cell r="B635" t="str">
            <v>ZA0104</v>
          </cell>
          <cell r="C635" t="str">
            <v>文焕</v>
          </cell>
          <cell r="D635" t="str">
            <v>刘氏</v>
          </cell>
        </row>
        <row r="636">
          <cell r="A636" t="str">
            <v>ZA0107W01</v>
          </cell>
          <cell r="B636" t="str">
            <v>ZA0107</v>
          </cell>
          <cell r="C636" t="str">
            <v>文烛</v>
          </cell>
          <cell r="D636" t="str">
            <v>王氏</v>
          </cell>
        </row>
        <row r="637">
          <cell r="A637" t="str">
            <v>ZA0109W01</v>
          </cell>
          <cell r="B637" t="str">
            <v>ZA0109</v>
          </cell>
          <cell r="C637" t="str">
            <v>文秀</v>
          </cell>
          <cell r="D637" t="str">
            <v>彭氏</v>
          </cell>
        </row>
        <row r="638">
          <cell r="A638" t="str">
            <v>ZA0110W01</v>
          </cell>
          <cell r="B638" t="str">
            <v>ZA0110</v>
          </cell>
          <cell r="C638" t="str">
            <v>文斗</v>
          </cell>
          <cell r="D638" t="str">
            <v>陈氏</v>
          </cell>
        </row>
        <row r="639">
          <cell r="A639" t="str">
            <v>ZA0111W01</v>
          </cell>
          <cell r="B639" t="str">
            <v>ZA0111</v>
          </cell>
          <cell r="C639" t="str">
            <v>文开</v>
          </cell>
          <cell r="D639" t="str">
            <v>刘氏</v>
          </cell>
        </row>
        <row r="640">
          <cell r="A640" t="str">
            <v>ZA0112W01</v>
          </cell>
          <cell r="B640" t="str">
            <v>ZA0112</v>
          </cell>
          <cell r="C640" t="str">
            <v>文翰</v>
          </cell>
          <cell r="D640" t="str">
            <v>肖氏</v>
          </cell>
        </row>
        <row r="641">
          <cell r="A641" t="str">
            <v>ZA0112W02</v>
          </cell>
          <cell r="B641" t="str">
            <v>ZA0112</v>
          </cell>
          <cell r="C641" t="str">
            <v>文翰</v>
          </cell>
          <cell r="D641" t="str">
            <v>彭氏</v>
          </cell>
        </row>
        <row r="642">
          <cell r="A642" t="str">
            <v>ZA0113W01</v>
          </cell>
          <cell r="B642" t="str">
            <v>ZA0113</v>
          </cell>
          <cell r="C642" t="str">
            <v>文炽</v>
          </cell>
          <cell r="D642" t="str">
            <v>刘氏</v>
          </cell>
        </row>
        <row r="643">
          <cell r="A643" t="str">
            <v>ZA0116W01</v>
          </cell>
          <cell r="B643" t="str">
            <v>ZA0116</v>
          </cell>
          <cell r="C643" t="str">
            <v>文辉</v>
          </cell>
          <cell r="D643" t="str">
            <v>刘氏</v>
          </cell>
        </row>
        <row r="644">
          <cell r="A644" t="str">
            <v>ZA0118W01</v>
          </cell>
          <cell r="B644" t="str">
            <v>ZA0118</v>
          </cell>
          <cell r="C644" t="str">
            <v>文灿</v>
          </cell>
          <cell r="D644" t="str">
            <v>肖氏</v>
          </cell>
        </row>
        <row r="645">
          <cell r="A645" t="str">
            <v>ZA0119W01</v>
          </cell>
          <cell r="B645" t="str">
            <v>ZA0119</v>
          </cell>
          <cell r="C645" t="str">
            <v>文烜</v>
          </cell>
          <cell r="D645" t="str">
            <v>肖氏</v>
          </cell>
        </row>
        <row r="646">
          <cell r="A646" t="str">
            <v>ZA0120W01</v>
          </cell>
          <cell r="B646" t="str">
            <v>ZA0120</v>
          </cell>
          <cell r="C646" t="str">
            <v>文炤</v>
          </cell>
          <cell r="D646" t="str">
            <v>彭氏</v>
          </cell>
        </row>
        <row r="647">
          <cell r="A647" t="str">
            <v>ZA0122W01</v>
          </cell>
          <cell r="B647" t="str">
            <v>ZA0122</v>
          </cell>
          <cell r="C647" t="str">
            <v>文行</v>
          </cell>
          <cell r="D647" t="str">
            <v>谭氏</v>
          </cell>
        </row>
        <row r="648">
          <cell r="A648" t="str">
            <v>ZA0123W01</v>
          </cell>
          <cell r="B648" t="str">
            <v>ZA0123</v>
          </cell>
          <cell r="C648" t="str">
            <v>文绍</v>
          </cell>
          <cell r="D648" t="str">
            <v>欧阳氏</v>
          </cell>
        </row>
        <row r="649">
          <cell r="A649" t="str">
            <v>ZA0123W02</v>
          </cell>
          <cell r="B649" t="str">
            <v>ZA0123</v>
          </cell>
          <cell r="C649" t="str">
            <v>文绍</v>
          </cell>
          <cell r="D649" t="str">
            <v>朱氏</v>
          </cell>
        </row>
        <row r="650">
          <cell r="A650" t="str">
            <v>ZA0124W01</v>
          </cell>
          <cell r="B650" t="str">
            <v>ZA0124</v>
          </cell>
          <cell r="C650" t="str">
            <v>文鸿</v>
          </cell>
          <cell r="D650" t="str">
            <v>刘氏</v>
          </cell>
        </row>
        <row r="651">
          <cell r="A651" t="str">
            <v>ZA0126W01</v>
          </cell>
          <cell r="B651" t="str">
            <v>ZA0126</v>
          </cell>
          <cell r="C651" t="str">
            <v>文逑</v>
          </cell>
          <cell r="D651" t="str">
            <v>王氏</v>
          </cell>
        </row>
        <row r="652">
          <cell r="A652" t="str">
            <v>ZA0129W01</v>
          </cell>
          <cell r="B652" t="str">
            <v>ZA0129</v>
          </cell>
          <cell r="C652" t="str">
            <v>文进</v>
          </cell>
          <cell r="D652" t="str">
            <v>曾氏</v>
          </cell>
        </row>
        <row r="653">
          <cell r="A653" t="str">
            <v>ZA0130W01</v>
          </cell>
          <cell r="B653" t="str">
            <v>ZA0130</v>
          </cell>
          <cell r="C653" t="str">
            <v>文迪</v>
          </cell>
          <cell r="D653" t="str">
            <v>刘氏</v>
          </cell>
        </row>
        <row r="654">
          <cell r="A654" t="str">
            <v>ZA0135W01</v>
          </cell>
          <cell r="B654" t="str">
            <v>ZA0135</v>
          </cell>
          <cell r="C654" t="str">
            <v>裕琦</v>
          </cell>
          <cell r="D654" t="str">
            <v>刘氏</v>
          </cell>
        </row>
        <row r="655">
          <cell r="A655" t="str">
            <v>ZA0142W01</v>
          </cell>
          <cell r="B655" t="str">
            <v>ZA0142</v>
          </cell>
          <cell r="C655" t="str">
            <v>裕琳</v>
          </cell>
          <cell r="D655" t="str">
            <v>彭氏</v>
          </cell>
        </row>
        <row r="656">
          <cell r="A656" t="str">
            <v>ZA0146W01</v>
          </cell>
          <cell r="B656" t="str">
            <v>ZA0146</v>
          </cell>
          <cell r="C656" t="str">
            <v>裕珍</v>
          </cell>
          <cell r="D656" t="str">
            <v>曾氏</v>
          </cell>
        </row>
        <row r="657">
          <cell r="A657" t="str">
            <v>ZA0149W01</v>
          </cell>
          <cell r="B657" t="str">
            <v>ZA0149</v>
          </cell>
          <cell r="C657" t="str">
            <v>裕琏</v>
          </cell>
          <cell r="D657" t="str">
            <v>刘氏</v>
          </cell>
        </row>
        <row r="658">
          <cell r="A658" t="str">
            <v>ZA0154W01</v>
          </cell>
          <cell r="B658" t="str">
            <v>ZA0154</v>
          </cell>
          <cell r="C658" t="str">
            <v>裕昌</v>
          </cell>
          <cell r="D658" t="str">
            <v>某氏</v>
          </cell>
        </row>
        <row r="659">
          <cell r="A659" t="str">
            <v>ZA0156W01</v>
          </cell>
          <cell r="B659" t="str">
            <v>ZA0156</v>
          </cell>
          <cell r="C659" t="str">
            <v>兆宗</v>
          </cell>
          <cell r="D659" t="str">
            <v>某氏</v>
          </cell>
        </row>
        <row r="660">
          <cell r="A660" t="str">
            <v>ZA0158W01</v>
          </cell>
          <cell r="B660" t="str">
            <v>ZA0158</v>
          </cell>
          <cell r="C660" t="str">
            <v>学宗</v>
          </cell>
          <cell r="D660" t="str">
            <v>廖氏</v>
          </cell>
        </row>
        <row r="661">
          <cell r="A661" t="str">
            <v>ZA0162W01</v>
          </cell>
          <cell r="B661" t="str">
            <v>ZA0162</v>
          </cell>
          <cell r="C661" t="str">
            <v>报宗</v>
          </cell>
          <cell r="D661" t="str">
            <v>刘氏</v>
          </cell>
        </row>
        <row r="662">
          <cell r="A662" t="str">
            <v>ZA0163W01</v>
          </cell>
          <cell r="B662" t="str">
            <v>ZA0163</v>
          </cell>
          <cell r="C662" t="str">
            <v>德宗</v>
          </cell>
          <cell r="D662" t="str">
            <v>周氏</v>
          </cell>
        </row>
        <row r="663">
          <cell r="A663" t="str">
            <v>ZA0176W01</v>
          </cell>
          <cell r="B663" t="str">
            <v>ZA0176</v>
          </cell>
          <cell r="C663" t="str">
            <v>邦椽</v>
          </cell>
          <cell r="D663" t="str">
            <v>朱元娘</v>
          </cell>
        </row>
        <row r="664">
          <cell r="A664" t="str">
            <v>ZA0178W01</v>
          </cell>
          <cell r="B664" t="str">
            <v>ZA0178</v>
          </cell>
          <cell r="C664" t="str">
            <v>邦林</v>
          </cell>
          <cell r="D664" t="str">
            <v>尹六珠</v>
          </cell>
        </row>
        <row r="665">
          <cell r="A665" t="str">
            <v>ZA0179W01</v>
          </cell>
          <cell r="B665" t="str">
            <v>ZA0179</v>
          </cell>
          <cell r="C665" t="str">
            <v>邦椿</v>
          </cell>
          <cell r="D665" t="str">
            <v>刘氏喜娘</v>
          </cell>
        </row>
        <row r="666">
          <cell r="A666" t="str">
            <v>ZA0181W01</v>
          </cell>
          <cell r="B666" t="str">
            <v>ZA0181</v>
          </cell>
          <cell r="C666" t="str">
            <v>邦云</v>
          </cell>
          <cell r="D666" t="str">
            <v>朱氏快珠</v>
          </cell>
        </row>
        <row r="667">
          <cell r="A667" t="str">
            <v>ZA0183W01</v>
          </cell>
          <cell r="B667" t="str">
            <v>ZA0183</v>
          </cell>
          <cell r="C667" t="str">
            <v>邦翼</v>
          </cell>
          <cell r="D667" t="str">
            <v>刘氏转娥</v>
          </cell>
        </row>
        <row r="668">
          <cell r="A668" t="str">
            <v>ZA0184W01</v>
          </cell>
          <cell r="B668" t="str">
            <v>ZA0184</v>
          </cell>
          <cell r="C668" t="str">
            <v>邦松</v>
          </cell>
          <cell r="D668" t="str">
            <v>陈氏二娘</v>
          </cell>
        </row>
        <row r="669">
          <cell r="A669" t="str">
            <v>ZA0185W01</v>
          </cell>
          <cell r="B669" t="str">
            <v>ZA0185</v>
          </cell>
          <cell r="C669" t="str">
            <v>邦成</v>
          </cell>
          <cell r="D669" t="str">
            <v>陈氏爱娘</v>
          </cell>
        </row>
        <row r="670">
          <cell r="A670" t="str">
            <v>ZA0188W01</v>
          </cell>
          <cell r="B670" t="str">
            <v>ZA0188</v>
          </cell>
          <cell r="C670" t="str">
            <v>洪昌</v>
          </cell>
          <cell r="D670" t="str">
            <v>朱四珠</v>
          </cell>
        </row>
        <row r="671">
          <cell r="A671" t="str">
            <v>ZA0192W01</v>
          </cell>
          <cell r="B671" t="str">
            <v>ZA0192</v>
          </cell>
          <cell r="C671" t="str">
            <v>济昌</v>
          </cell>
          <cell r="D671" t="str">
            <v>朱氏招娘</v>
          </cell>
        </row>
        <row r="672">
          <cell r="A672" t="str">
            <v>ZA0197W01</v>
          </cell>
          <cell r="B672" t="str">
            <v>ZA0197</v>
          </cell>
          <cell r="C672" t="str">
            <v>银昌</v>
          </cell>
          <cell r="D672" t="str">
            <v>某氏</v>
          </cell>
        </row>
        <row r="673">
          <cell r="A673" t="str">
            <v>ZA0201W01</v>
          </cell>
          <cell r="B673" t="str">
            <v>ZA0201</v>
          </cell>
          <cell r="C673" t="str">
            <v>德昌</v>
          </cell>
          <cell r="D673" t="str">
            <v>刘氏竹娘</v>
          </cell>
        </row>
        <row r="674">
          <cell r="A674" t="str">
            <v>ZA0201W02</v>
          </cell>
          <cell r="B674" t="str">
            <v>ZA0201</v>
          </cell>
          <cell r="C674" t="str">
            <v>德昌</v>
          </cell>
          <cell r="D674" t="str">
            <v>刘氏年娘</v>
          </cell>
        </row>
        <row r="675">
          <cell r="A675" t="str">
            <v>ZA0202W01</v>
          </cell>
          <cell r="B675" t="str">
            <v>ZA0202</v>
          </cell>
          <cell r="C675" t="str">
            <v>义昌</v>
          </cell>
          <cell r="D675" t="str">
            <v>黄救珠</v>
          </cell>
        </row>
        <row r="676">
          <cell r="A676" t="str">
            <v>ZA0208W01</v>
          </cell>
          <cell r="B676" t="str">
            <v>ZA0208</v>
          </cell>
          <cell r="C676" t="str">
            <v>仪昌</v>
          </cell>
          <cell r="D676" t="str">
            <v>唐娣华</v>
          </cell>
        </row>
        <row r="677">
          <cell r="A677" t="str">
            <v>ZA0212W01</v>
          </cell>
          <cell r="B677" t="str">
            <v>ZA0212</v>
          </cell>
          <cell r="C677" t="str">
            <v>其昌</v>
          </cell>
          <cell r="D677" t="str">
            <v>刘珍珠</v>
          </cell>
        </row>
        <row r="678">
          <cell r="A678" t="str">
            <v>ZA0215W01</v>
          </cell>
          <cell r="B678" t="str">
            <v>ZA0215</v>
          </cell>
          <cell r="C678" t="str">
            <v>先才</v>
          </cell>
          <cell r="D678" t="str">
            <v>刘亲</v>
          </cell>
        </row>
        <row r="679">
          <cell r="A679" t="str">
            <v>ZA0216W01</v>
          </cell>
          <cell r="B679" t="str">
            <v>ZA0216</v>
          </cell>
          <cell r="C679" t="str">
            <v>传芳</v>
          </cell>
          <cell r="D679" t="str">
            <v>杜根香</v>
          </cell>
        </row>
        <row r="680">
          <cell r="A680" t="str">
            <v>ZA0217W01</v>
          </cell>
          <cell r="B680" t="str">
            <v>ZA0217</v>
          </cell>
          <cell r="C680" t="str">
            <v>季芳</v>
          </cell>
          <cell r="D680" t="str">
            <v>刘桂妹</v>
          </cell>
        </row>
        <row r="681">
          <cell r="A681" t="str">
            <v>ZA0218W01</v>
          </cell>
          <cell r="B681" t="str">
            <v>ZA0218</v>
          </cell>
          <cell r="C681" t="str">
            <v>元芳</v>
          </cell>
          <cell r="D681" t="str">
            <v>刘招珠</v>
          </cell>
        </row>
        <row r="682">
          <cell r="A682" t="str">
            <v>ZA0221W01</v>
          </cell>
          <cell r="B682" t="str">
            <v>ZA0221</v>
          </cell>
          <cell r="C682" t="str">
            <v>继芳</v>
          </cell>
          <cell r="D682" t="str">
            <v>刘桂兰</v>
          </cell>
        </row>
        <row r="683">
          <cell r="A683" t="str">
            <v>ZA0224W01</v>
          </cell>
          <cell r="B683" t="str">
            <v>ZA0224</v>
          </cell>
          <cell r="C683" t="str">
            <v>积芳</v>
          </cell>
          <cell r="D683" t="str">
            <v>贺春英</v>
          </cell>
        </row>
        <row r="684">
          <cell r="A684" t="str">
            <v>ZA0227W01</v>
          </cell>
          <cell r="B684" t="str">
            <v>ZA0227</v>
          </cell>
          <cell r="C684" t="str">
            <v>腾芳</v>
          </cell>
          <cell r="D684" t="str">
            <v>周桂英</v>
          </cell>
        </row>
        <row r="685">
          <cell r="A685" t="str">
            <v>ZA0229W01</v>
          </cell>
          <cell r="B685" t="str">
            <v>ZA0229</v>
          </cell>
          <cell r="C685" t="str">
            <v>连芳</v>
          </cell>
          <cell r="D685" t="str">
            <v>黄海珠</v>
          </cell>
        </row>
        <row r="686">
          <cell r="A686" t="str">
            <v>ZA0230W01</v>
          </cell>
          <cell r="B686" t="str">
            <v>ZA0230</v>
          </cell>
          <cell r="C686" t="str">
            <v>春芳</v>
          </cell>
          <cell r="D686" t="str">
            <v>刘花珠</v>
          </cell>
        </row>
        <row r="687">
          <cell r="A687" t="str">
            <v>ZA0231W01</v>
          </cell>
          <cell r="B687" t="str">
            <v>ZA0231</v>
          </cell>
          <cell r="C687" t="str">
            <v>建芳</v>
          </cell>
          <cell r="D687" t="str">
            <v>陈转英</v>
          </cell>
        </row>
        <row r="688">
          <cell r="A688" t="str">
            <v>ZA0232W01</v>
          </cell>
          <cell r="B688" t="str">
            <v>ZA0232</v>
          </cell>
          <cell r="C688" t="str">
            <v>清芳</v>
          </cell>
          <cell r="D688" t="str">
            <v>唐淑德</v>
          </cell>
        </row>
        <row r="689">
          <cell r="A689" t="str">
            <v>ZA0233W01</v>
          </cell>
          <cell r="B689" t="str">
            <v>ZA0233</v>
          </cell>
          <cell r="C689" t="str">
            <v>水芳</v>
          </cell>
          <cell r="D689" t="str">
            <v>刘冬娥</v>
          </cell>
        </row>
        <row r="690">
          <cell r="A690" t="str">
            <v>ZA0234W01</v>
          </cell>
          <cell r="B690" t="str">
            <v>ZA0234</v>
          </cell>
          <cell r="C690" t="str">
            <v>盐芳</v>
          </cell>
          <cell r="D690" t="str">
            <v>彭笑英</v>
          </cell>
        </row>
        <row r="691">
          <cell r="A691" t="str">
            <v>ZA0235W01</v>
          </cell>
          <cell r="B691" t="str">
            <v>ZA0235</v>
          </cell>
          <cell r="C691" t="str">
            <v>油芳</v>
          </cell>
          <cell r="D691" t="str">
            <v>刘银珠</v>
          </cell>
        </row>
        <row r="692">
          <cell r="A692" t="str">
            <v>ZA0236W01</v>
          </cell>
          <cell r="B692" t="str">
            <v>ZA0236</v>
          </cell>
          <cell r="C692" t="str">
            <v>顺芳</v>
          </cell>
          <cell r="D692" t="str">
            <v>周页英</v>
          </cell>
        </row>
        <row r="693">
          <cell r="A693" t="str">
            <v>ZA0240W01</v>
          </cell>
          <cell r="B693" t="str">
            <v>ZA0240</v>
          </cell>
          <cell r="C693" t="str">
            <v>瑞生</v>
          </cell>
          <cell r="D693" t="str">
            <v>李页娥</v>
          </cell>
        </row>
        <row r="694">
          <cell r="A694" t="str">
            <v>ZA0242W01</v>
          </cell>
          <cell r="B694" t="str">
            <v>ZA0242</v>
          </cell>
          <cell r="C694" t="str">
            <v>青</v>
          </cell>
          <cell r="D694" t="str">
            <v>黄丽华</v>
          </cell>
        </row>
        <row r="695">
          <cell r="A695" t="str">
            <v>ZA0244W01</v>
          </cell>
          <cell r="B695" t="str">
            <v>ZA0244</v>
          </cell>
          <cell r="C695" t="str">
            <v>斌</v>
          </cell>
          <cell r="D695" t="str">
            <v>周金花</v>
          </cell>
        </row>
        <row r="696">
          <cell r="A696" t="str">
            <v>ZA0246W01</v>
          </cell>
          <cell r="B696" t="str">
            <v>ZA0246</v>
          </cell>
          <cell r="C696" t="str">
            <v>洋明</v>
          </cell>
          <cell r="D696" t="str">
            <v>彭桂香</v>
          </cell>
        </row>
        <row r="697">
          <cell r="A697" t="str">
            <v>ZA0247W01</v>
          </cell>
          <cell r="B697" t="str">
            <v>ZA0247</v>
          </cell>
          <cell r="C697" t="str">
            <v>松明</v>
          </cell>
          <cell r="D697" t="str">
            <v>刘现媛</v>
          </cell>
        </row>
        <row r="698">
          <cell r="A698" t="str">
            <v>ZA0248W01</v>
          </cell>
          <cell r="B698" t="str">
            <v>ZA0248</v>
          </cell>
          <cell r="C698" t="str">
            <v>忠明</v>
          </cell>
          <cell r="D698" t="str">
            <v>朱柳珍</v>
          </cell>
        </row>
        <row r="699">
          <cell r="A699" t="str">
            <v>ZA0252W01</v>
          </cell>
          <cell r="B699" t="str">
            <v>ZA0252</v>
          </cell>
          <cell r="C699" t="str">
            <v>志明</v>
          </cell>
          <cell r="D699" t="str">
            <v>周金兰</v>
          </cell>
        </row>
        <row r="700">
          <cell r="A700" t="str">
            <v>ZA0264W01</v>
          </cell>
          <cell r="B700" t="str">
            <v>ZA0264</v>
          </cell>
          <cell r="C700" t="str">
            <v>正明</v>
          </cell>
          <cell r="D700" t="str">
            <v>梅兰</v>
          </cell>
        </row>
        <row r="701">
          <cell r="A701" t="str">
            <v>ZA0268W01</v>
          </cell>
          <cell r="B701" t="str">
            <v>ZA0268</v>
          </cell>
          <cell r="C701" t="str">
            <v>小林</v>
          </cell>
          <cell r="D701" t="str">
            <v>孙洪英</v>
          </cell>
        </row>
        <row r="702">
          <cell r="A702" t="str">
            <v>ZA0270W01</v>
          </cell>
          <cell r="B702" t="str">
            <v>ZA0270</v>
          </cell>
          <cell r="C702" t="str">
            <v>生林</v>
          </cell>
          <cell r="D702" t="str">
            <v>刘小钰</v>
          </cell>
        </row>
        <row r="703">
          <cell r="A703" t="str">
            <v>ZA0271W01</v>
          </cell>
          <cell r="B703" t="str">
            <v>ZA0271</v>
          </cell>
          <cell r="C703" t="str">
            <v>新民</v>
          </cell>
          <cell r="D703" t="str">
            <v>刘桂香</v>
          </cell>
        </row>
        <row r="704">
          <cell r="A704" t="str">
            <v>ZA0272W01</v>
          </cell>
          <cell r="B704" t="str">
            <v>ZA0272</v>
          </cell>
          <cell r="C704" t="str">
            <v>世民</v>
          </cell>
          <cell r="D704" t="str">
            <v>刘梅艳</v>
          </cell>
        </row>
        <row r="705">
          <cell r="A705" t="str">
            <v>ZA0279W01</v>
          </cell>
          <cell r="B705" t="str">
            <v>ZA0279</v>
          </cell>
          <cell r="C705" t="str">
            <v>润民</v>
          </cell>
          <cell r="D705" t="str">
            <v>黄桂娥</v>
          </cell>
        </row>
        <row r="706">
          <cell r="A706" t="str">
            <v>ZA0280W01</v>
          </cell>
          <cell r="B706" t="str">
            <v>ZA0280</v>
          </cell>
          <cell r="C706" t="str">
            <v>惠明</v>
          </cell>
          <cell r="D706" t="str">
            <v>曹映霞</v>
          </cell>
        </row>
        <row r="707">
          <cell r="A707" t="str">
            <v>ZA0281W01</v>
          </cell>
          <cell r="B707" t="str">
            <v>ZA0281</v>
          </cell>
          <cell r="C707" t="str">
            <v>焕明</v>
          </cell>
          <cell r="D707" t="str">
            <v>刘美娟</v>
          </cell>
        </row>
        <row r="708">
          <cell r="A708" t="str">
            <v>ZA0284W01</v>
          </cell>
          <cell r="B708" t="str">
            <v>ZA0284</v>
          </cell>
          <cell r="C708" t="str">
            <v>建明</v>
          </cell>
          <cell r="D708" t="str">
            <v>谢强</v>
          </cell>
        </row>
        <row r="709">
          <cell r="A709" t="str">
            <v>M000024W01</v>
          </cell>
          <cell r="B709" t="str">
            <v>M000024</v>
          </cell>
          <cell r="C709" t="str">
            <v>廷珍</v>
          </cell>
          <cell r="D709" t="str">
            <v>周氏</v>
          </cell>
        </row>
        <row r="710">
          <cell r="A710" t="str">
            <v>M000117W01</v>
          </cell>
          <cell r="B710" t="str">
            <v>M000117</v>
          </cell>
          <cell r="C710" t="str">
            <v>嘉认</v>
          </cell>
          <cell r="D710" t="str">
            <v>王氏</v>
          </cell>
        </row>
        <row r="711">
          <cell r="A711" t="str">
            <v>M001258W01</v>
          </cell>
          <cell r="B711" t="str">
            <v>M001258</v>
          </cell>
          <cell r="C711" t="str">
            <v>军才</v>
          </cell>
          <cell r="D711" t="str">
            <v>朱九珠</v>
          </cell>
        </row>
        <row r="712">
          <cell r="A712" t="str">
            <v>M001317W01</v>
          </cell>
          <cell r="B712" t="str">
            <v>M001317</v>
          </cell>
          <cell r="C712" t="str">
            <v>伟良</v>
          </cell>
          <cell r="D712" t="str">
            <v>刘春艳</v>
          </cell>
        </row>
        <row r="713">
          <cell r="A713" t="str">
            <v>ZA0220W01</v>
          </cell>
          <cell r="B713" t="str">
            <v>ZA0220</v>
          </cell>
          <cell r="C713" t="str">
            <v>圆芳</v>
          </cell>
          <cell r="D713" t="str">
            <v>刘玉兰</v>
          </cell>
        </row>
        <row r="714">
          <cell r="A714" t="str">
            <v>ZA0241W01</v>
          </cell>
          <cell r="B714" t="str">
            <v>ZA0241</v>
          </cell>
          <cell r="C714" t="str">
            <v>桃生</v>
          </cell>
          <cell r="D714" t="str">
            <v>刘书英</v>
          </cell>
        </row>
        <row r="715">
          <cell r="A715" t="str">
            <v>M001189W01</v>
          </cell>
          <cell r="B715" t="str">
            <v>M001189</v>
          </cell>
          <cell r="C715" t="str">
            <v>章德</v>
          </cell>
          <cell r="D715" t="str">
            <v>杨氏</v>
          </cell>
        </row>
        <row r="716">
          <cell r="A716" t="str">
            <v>M001194W01</v>
          </cell>
          <cell r="B716" t="str">
            <v>M001194</v>
          </cell>
          <cell r="C716" t="str">
            <v>相德</v>
          </cell>
          <cell r="D716" t="str">
            <v>肖忠珠</v>
          </cell>
        </row>
        <row r="717">
          <cell r="A717" t="str">
            <v>M001203W01</v>
          </cell>
          <cell r="B717" t="str">
            <v>M001203</v>
          </cell>
          <cell r="C717" t="str">
            <v>丕训</v>
          </cell>
          <cell r="D717" t="str">
            <v>朱全珠</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女婿表"/>
    </sheetNames>
    <sheetDataSet>
      <sheetData sheetId="0">
        <row r="1">
          <cell r="A1" t="str">
            <v>ID</v>
          </cell>
          <cell r="B1" t="str">
            <v>姓名</v>
          </cell>
          <cell r="D1" t="str">
            <v>妻子ID</v>
          </cell>
        </row>
        <row r="2">
          <cell r="A2" t="str">
            <v>M000394S01</v>
          </cell>
          <cell r="B2" t="str">
            <v>朱梦典</v>
          </cell>
          <cell r="D2" t="str">
            <v>M000394</v>
          </cell>
        </row>
        <row r="3">
          <cell r="A3" t="str">
            <v>M000395S01</v>
          </cell>
          <cell r="B3" t="str">
            <v>刘焕招</v>
          </cell>
          <cell r="D3" t="str">
            <v>M000395</v>
          </cell>
        </row>
        <row r="4">
          <cell r="A4" t="str">
            <v>M000402S01</v>
          </cell>
          <cell r="B4" t="str">
            <v>王来才</v>
          </cell>
          <cell r="D4" t="str">
            <v>M000402</v>
          </cell>
        </row>
        <row r="5">
          <cell r="A5" t="str">
            <v>M000403S01</v>
          </cell>
          <cell r="B5" t="str">
            <v>育生</v>
          </cell>
          <cell r="D5" t="str">
            <v>M000403</v>
          </cell>
        </row>
        <row r="6">
          <cell r="A6" t="str">
            <v>M000404S01</v>
          </cell>
          <cell r="B6" t="str">
            <v>张求贤</v>
          </cell>
          <cell r="D6" t="str">
            <v>M000404</v>
          </cell>
        </row>
        <row r="7">
          <cell r="A7" t="str">
            <v>M000405S01</v>
          </cell>
          <cell r="B7" t="str">
            <v>邓兴旺</v>
          </cell>
          <cell r="D7" t="str">
            <v>M000405</v>
          </cell>
        </row>
        <row r="8">
          <cell r="A8" t="str">
            <v>M000410S01</v>
          </cell>
          <cell r="B8" t="str">
            <v>左文和</v>
          </cell>
          <cell r="D8" t="str">
            <v>M000410</v>
          </cell>
        </row>
        <row r="9">
          <cell r="A9" t="str">
            <v>M000411S01</v>
          </cell>
          <cell r="B9" t="str">
            <v>发开</v>
          </cell>
          <cell r="D9" t="str">
            <v>M000411</v>
          </cell>
        </row>
        <row r="10">
          <cell r="A10" t="str">
            <v>M000425S01</v>
          </cell>
          <cell r="B10" t="str">
            <v>王文先</v>
          </cell>
          <cell r="D10" t="str">
            <v>M000425</v>
          </cell>
        </row>
        <row r="11">
          <cell r="A11" t="str">
            <v>M000426S01</v>
          </cell>
          <cell r="B11" t="str">
            <v>刘光善</v>
          </cell>
          <cell r="D11" t="str">
            <v>M000426</v>
          </cell>
        </row>
        <row r="12">
          <cell r="A12" t="str">
            <v>M000427S01</v>
          </cell>
          <cell r="B12" t="str">
            <v>张华兴</v>
          </cell>
          <cell r="D12" t="str">
            <v>M000427</v>
          </cell>
        </row>
        <row r="13">
          <cell r="A13" t="str">
            <v>M000428S01</v>
          </cell>
          <cell r="B13" t="str">
            <v>庄跃南</v>
          </cell>
          <cell r="D13" t="str">
            <v>M000428</v>
          </cell>
        </row>
        <row r="14">
          <cell r="A14" t="str">
            <v>M000434S01</v>
          </cell>
          <cell r="B14" t="str">
            <v>唐敬如</v>
          </cell>
          <cell r="D14" t="str">
            <v>M000434</v>
          </cell>
        </row>
        <row r="15">
          <cell r="A15" t="str">
            <v>M000435S01</v>
          </cell>
          <cell r="B15" t="str">
            <v>刘益才</v>
          </cell>
          <cell r="D15" t="str">
            <v>M000435</v>
          </cell>
        </row>
        <row r="16">
          <cell r="A16" t="str">
            <v>M000436S01</v>
          </cell>
          <cell r="B16" t="str">
            <v>刘清贤</v>
          </cell>
          <cell r="D16" t="str">
            <v>M000436</v>
          </cell>
        </row>
        <row r="17">
          <cell r="A17" t="str">
            <v>M000437S01</v>
          </cell>
          <cell r="B17" t="str">
            <v>左新柱</v>
          </cell>
          <cell r="D17" t="str">
            <v>M000437</v>
          </cell>
        </row>
        <row r="18">
          <cell r="A18" t="str">
            <v>M000439S01</v>
          </cell>
          <cell r="B18" t="str">
            <v>彭四文</v>
          </cell>
          <cell r="D18" t="str">
            <v>M000439</v>
          </cell>
        </row>
        <row r="19">
          <cell r="A19" t="str">
            <v>M000440S01</v>
          </cell>
          <cell r="B19" t="str">
            <v>刘天华</v>
          </cell>
          <cell r="D19" t="str">
            <v>M000440</v>
          </cell>
        </row>
        <row r="20">
          <cell r="A20" t="str">
            <v>M000424</v>
          </cell>
          <cell r="B20" t="str">
            <v>洪香</v>
          </cell>
          <cell r="D20" t="str">
            <v>M000441</v>
          </cell>
        </row>
        <row r="21">
          <cell r="A21" t="str">
            <v>M000442S01</v>
          </cell>
          <cell r="B21" t="str">
            <v>刘志军</v>
          </cell>
          <cell r="D21" t="str">
            <v>M000442</v>
          </cell>
        </row>
        <row r="22">
          <cell r="A22" t="str">
            <v>M000443S01</v>
          </cell>
          <cell r="B22" t="str">
            <v>左同玉</v>
          </cell>
          <cell r="D22" t="str">
            <v>M000443</v>
          </cell>
        </row>
        <row r="23">
          <cell r="A23" t="str">
            <v>M000449S01</v>
          </cell>
          <cell r="B23" t="str">
            <v>刘小龙</v>
          </cell>
          <cell r="D23" t="str">
            <v>M000449</v>
          </cell>
        </row>
        <row r="24">
          <cell r="A24" t="str">
            <v>M000450S01</v>
          </cell>
          <cell r="B24" t="str">
            <v>周初生</v>
          </cell>
          <cell r="D24" t="str">
            <v>M000450</v>
          </cell>
        </row>
        <row r="25">
          <cell r="A25" t="str">
            <v>M000454S01</v>
          </cell>
          <cell r="B25" t="str">
            <v>唐长春</v>
          </cell>
          <cell r="D25" t="str">
            <v>M000454</v>
          </cell>
        </row>
        <row r="26">
          <cell r="A26" t="str">
            <v>M000455S01</v>
          </cell>
          <cell r="B26" t="str">
            <v>唐新华</v>
          </cell>
          <cell r="D26" t="str">
            <v>M000455</v>
          </cell>
        </row>
        <row r="27">
          <cell r="A27" t="str">
            <v>M000456S01</v>
          </cell>
          <cell r="B27" t="str">
            <v>赵新荣</v>
          </cell>
          <cell r="D27" t="str">
            <v>M000456</v>
          </cell>
        </row>
        <row r="28">
          <cell r="A28" t="str">
            <v>M000493</v>
          </cell>
          <cell r="B28" t="str">
            <v>双平</v>
          </cell>
          <cell r="D28" t="str">
            <v>M000459</v>
          </cell>
        </row>
        <row r="29">
          <cell r="A29" t="str">
            <v>M000460S01</v>
          </cell>
          <cell r="B29" t="str">
            <v>谢敏标</v>
          </cell>
          <cell r="D29" t="str">
            <v>M000460</v>
          </cell>
        </row>
        <row r="30">
          <cell r="A30" t="str">
            <v>M000463S01</v>
          </cell>
          <cell r="B30" t="str">
            <v>刘铁善</v>
          </cell>
          <cell r="D30" t="str">
            <v>M000463</v>
          </cell>
        </row>
        <row r="31">
          <cell r="A31" t="str">
            <v>M001402</v>
          </cell>
          <cell r="B31" t="str">
            <v>志军</v>
          </cell>
          <cell r="D31" t="str">
            <v>M000464</v>
          </cell>
        </row>
        <row r="32">
          <cell r="A32" t="str">
            <v>M000465S01</v>
          </cell>
          <cell r="B32" t="str">
            <v>刘仁甫</v>
          </cell>
          <cell r="D32" t="str">
            <v>M000465</v>
          </cell>
        </row>
        <row r="33">
          <cell r="A33" t="str">
            <v>M000470S01</v>
          </cell>
          <cell r="B33" t="str">
            <v>继先</v>
          </cell>
          <cell r="D33" t="str">
            <v>M000470</v>
          </cell>
        </row>
        <row r="34">
          <cell r="A34" t="str">
            <v>M000488S01</v>
          </cell>
          <cell r="B34" t="str">
            <v>刘春华</v>
          </cell>
          <cell r="D34" t="str">
            <v>M000488</v>
          </cell>
        </row>
        <row r="35">
          <cell r="A35" t="str">
            <v>M000489S01</v>
          </cell>
          <cell r="B35" t="str">
            <v>朱干明</v>
          </cell>
          <cell r="D35" t="str">
            <v>M000489</v>
          </cell>
        </row>
        <row r="36">
          <cell r="A36" t="str">
            <v>M000494S01</v>
          </cell>
          <cell r="B36" t="str">
            <v>刘彬生</v>
          </cell>
          <cell r="D36" t="str">
            <v>M000494</v>
          </cell>
        </row>
        <row r="37">
          <cell r="A37" t="str">
            <v>M000495S01</v>
          </cell>
          <cell r="B37" t="str">
            <v>李富胜</v>
          </cell>
          <cell r="D37" t="str">
            <v>M000495</v>
          </cell>
        </row>
        <row r="38">
          <cell r="A38" t="str">
            <v>M000496S01</v>
          </cell>
          <cell r="B38" t="str">
            <v>段建才</v>
          </cell>
          <cell r="D38" t="str">
            <v>M000496</v>
          </cell>
        </row>
        <row r="39">
          <cell r="A39" t="str">
            <v>M000501S01</v>
          </cell>
          <cell r="B39" t="str">
            <v>汪铁香</v>
          </cell>
          <cell r="D39" t="str">
            <v>M000501</v>
          </cell>
        </row>
        <row r="40">
          <cell r="A40" t="str">
            <v>M000505S01</v>
          </cell>
          <cell r="B40" t="str">
            <v>朱金照</v>
          </cell>
          <cell r="D40" t="str">
            <v>M000505</v>
          </cell>
        </row>
        <row r="41">
          <cell r="A41" t="str">
            <v>M000511S01</v>
          </cell>
          <cell r="B41" t="str">
            <v>王华兵</v>
          </cell>
          <cell r="D41" t="str">
            <v>M000511</v>
          </cell>
        </row>
        <row r="42">
          <cell r="A42" t="str">
            <v>M000514S01</v>
          </cell>
          <cell r="B42" t="str">
            <v>肖玉山</v>
          </cell>
          <cell r="D42" t="str">
            <v>M000514</v>
          </cell>
        </row>
        <row r="43">
          <cell r="A43" t="str">
            <v>M000515S01</v>
          </cell>
          <cell r="B43" t="str">
            <v>廖掌德</v>
          </cell>
          <cell r="D43" t="str">
            <v>M000515</v>
          </cell>
        </row>
        <row r="44">
          <cell r="A44" t="str">
            <v>M000516S01</v>
          </cell>
          <cell r="B44" t="str">
            <v>龙辉兵</v>
          </cell>
          <cell r="D44" t="str">
            <v>M000516</v>
          </cell>
        </row>
        <row r="45">
          <cell r="A45" t="str">
            <v>M000521S01</v>
          </cell>
          <cell r="B45" t="str">
            <v>王明玉</v>
          </cell>
          <cell r="D45" t="str">
            <v>M000521</v>
          </cell>
        </row>
        <row r="46">
          <cell r="A46" t="str">
            <v>M000523S01</v>
          </cell>
          <cell r="B46" t="str">
            <v>王曰春</v>
          </cell>
          <cell r="D46" t="str">
            <v>M000523</v>
          </cell>
        </row>
        <row r="47">
          <cell r="A47" t="str">
            <v>M000524S01</v>
          </cell>
          <cell r="B47" t="str">
            <v>朱宗明</v>
          </cell>
          <cell r="D47" t="str">
            <v>M000524</v>
          </cell>
        </row>
        <row r="48">
          <cell r="A48" t="str">
            <v>M000537S01</v>
          </cell>
          <cell r="B48" t="str">
            <v>胡文胜</v>
          </cell>
          <cell r="D48" t="str">
            <v>M000537</v>
          </cell>
        </row>
        <row r="49">
          <cell r="A49" t="str">
            <v>M000538S01</v>
          </cell>
          <cell r="B49" t="str">
            <v>涂友根</v>
          </cell>
          <cell r="D49" t="str">
            <v>M000538</v>
          </cell>
        </row>
        <row r="50">
          <cell r="A50" t="str">
            <v>M000539S01</v>
          </cell>
          <cell r="B50" t="str">
            <v>刘辉</v>
          </cell>
          <cell r="D50" t="str">
            <v>M000539</v>
          </cell>
        </row>
        <row r="51">
          <cell r="A51" t="str">
            <v>M000579S01</v>
          </cell>
          <cell r="B51" t="str">
            <v>刘勤武</v>
          </cell>
          <cell r="D51" t="str">
            <v>M000579</v>
          </cell>
        </row>
        <row r="52">
          <cell r="A52" t="str">
            <v>M000581S01</v>
          </cell>
          <cell r="B52" t="str">
            <v>陈茂星</v>
          </cell>
          <cell r="D52" t="str">
            <v>M000581</v>
          </cell>
        </row>
        <row r="53">
          <cell r="A53" t="str">
            <v>M000590S01</v>
          </cell>
          <cell r="B53" t="str">
            <v>邓军</v>
          </cell>
          <cell r="D53" t="str">
            <v>M000590</v>
          </cell>
        </row>
        <row r="54">
          <cell r="A54" t="str">
            <v>M000591S01</v>
          </cell>
          <cell r="B54" t="str">
            <v>欧阳鑫生</v>
          </cell>
          <cell r="D54" t="str">
            <v>M000591</v>
          </cell>
        </row>
        <row r="55">
          <cell r="A55" t="str">
            <v>M000620S01</v>
          </cell>
          <cell r="B55" t="str">
            <v>慧敏</v>
          </cell>
          <cell r="D55" t="str">
            <v>M000620</v>
          </cell>
        </row>
        <row r="56">
          <cell r="A56" t="str">
            <v>M001220S01</v>
          </cell>
          <cell r="B56" t="str">
            <v>高执相</v>
          </cell>
          <cell r="D56" t="str">
            <v>M001220</v>
          </cell>
        </row>
        <row r="57">
          <cell r="A57" t="str">
            <v>M001243S01</v>
          </cell>
          <cell r="B57" t="str">
            <v>王锡典</v>
          </cell>
          <cell r="D57" t="str">
            <v>M001243</v>
          </cell>
        </row>
        <row r="58">
          <cell r="A58" t="str">
            <v>M001244S01</v>
          </cell>
          <cell r="B58" t="str">
            <v>罗立德</v>
          </cell>
          <cell r="D58" t="str">
            <v>M001244</v>
          </cell>
        </row>
        <row r="59">
          <cell r="A59" t="str">
            <v>M001245S01</v>
          </cell>
          <cell r="B59" t="str">
            <v>田峡陂</v>
          </cell>
          <cell r="D59" t="str">
            <v>M001245</v>
          </cell>
        </row>
        <row r="60">
          <cell r="A60" t="str">
            <v>M001246S01</v>
          </cell>
          <cell r="B60" t="str">
            <v>朱采凡</v>
          </cell>
          <cell r="D60" t="str">
            <v>M001246</v>
          </cell>
        </row>
        <row r="61">
          <cell r="A61" t="str">
            <v>M001247S01</v>
          </cell>
          <cell r="B61" t="str">
            <v>旷水祥</v>
          </cell>
          <cell r="D61" t="str">
            <v>M001247</v>
          </cell>
        </row>
        <row r="62">
          <cell r="A62" t="str">
            <v>M001284S01</v>
          </cell>
          <cell r="B62" t="str">
            <v>朱顶柱</v>
          </cell>
          <cell r="D62" t="str">
            <v>M001284</v>
          </cell>
        </row>
        <row r="63">
          <cell r="A63" t="str">
            <v>M001285S01</v>
          </cell>
          <cell r="B63" t="str">
            <v>朱天求</v>
          </cell>
          <cell r="D63" t="str">
            <v>M001285</v>
          </cell>
        </row>
        <row r="64">
          <cell r="A64" t="str">
            <v>M001286S01</v>
          </cell>
          <cell r="B64" t="str">
            <v>王风兴</v>
          </cell>
          <cell r="D64" t="str">
            <v>M001286</v>
          </cell>
        </row>
        <row r="65">
          <cell r="A65" t="str">
            <v>M001287S01</v>
          </cell>
          <cell r="B65" t="str">
            <v>刘开圣</v>
          </cell>
          <cell r="D65" t="str">
            <v>M001287</v>
          </cell>
        </row>
        <row r="66">
          <cell r="A66" t="str">
            <v>M001288S01</v>
          </cell>
          <cell r="B66" t="str">
            <v>彭庆方</v>
          </cell>
          <cell r="D66" t="str">
            <v>M001288</v>
          </cell>
        </row>
        <row r="67">
          <cell r="A67" t="str">
            <v>M000392</v>
          </cell>
          <cell r="B67" t="str">
            <v>记香</v>
          </cell>
          <cell r="D67" t="str">
            <v>M001289</v>
          </cell>
        </row>
        <row r="68">
          <cell r="A68" t="str">
            <v>M001291S01</v>
          </cell>
          <cell r="B68" t="str">
            <v>彭彬喜</v>
          </cell>
          <cell r="D68" t="str">
            <v>M001291</v>
          </cell>
        </row>
        <row r="69">
          <cell r="A69" t="str">
            <v>M001292S01</v>
          </cell>
          <cell r="B69" t="str">
            <v>刘立生</v>
          </cell>
          <cell r="D69" t="str">
            <v>M001292</v>
          </cell>
        </row>
        <row r="70">
          <cell r="A70" t="str">
            <v>M001293S01</v>
          </cell>
          <cell r="B70" t="str">
            <v>王将飞</v>
          </cell>
          <cell r="D70" t="str">
            <v>M001293</v>
          </cell>
        </row>
        <row r="71">
          <cell r="A71" t="str">
            <v>M001294S01</v>
          </cell>
          <cell r="B71" t="str">
            <v>朱松明</v>
          </cell>
          <cell r="D71" t="str">
            <v>M001294</v>
          </cell>
        </row>
        <row r="72">
          <cell r="A72" t="str">
            <v>M001295S01</v>
          </cell>
          <cell r="B72" t="str">
            <v>刘金善</v>
          </cell>
          <cell r="D72" t="str">
            <v>M001295</v>
          </cell>
        </row>
        <row r="73">
          <cell r="A73" t="str">
            <v>M001296S01</v>
          </cell>
          <cell r="B73" t="str">
            <v>王德桂</v>
          </cell>
          <cell r="D73" t="str">
            <v>M001296</v>
          </cell>
        </row>
        <row r="74">
          <cell r="A74" t="str">
            <v>M001297S01</v>
          </cell>
          <cell r="B74" t="str">
            <v>刘现招</v>
          </cell>
          <cell r="D74" t="str">
            <v>M001297</v>
          </cell>
        </row>
        <row r="75">
          <cell r="A75" t="str">
            <v>M001298S01</v>
          </cell>
          <cell r="B75" t="str">
            <v>陈伏山</v>
          </cell>
          <cell r="D75" t="str">
            <v>M001298</v>
          </cell>
        </row>
        <row r="76">
          <cell r="A76" t="str">
            <v>M001299S01</v>
          </cell>
          <cell r="B76" t="str">
            <v>周章祥</v>
          </cell>
          <cell r="D76" t="str">
            <v>M001299</v>
          </cell>
        </row>
        <row r="77">
          <cell r="A77" t="str">
            <v>M001300S01</v>
          </cell>
          <cell r="B77" t="str">
            <v>王吉庆</v>
          </cell>
          <cell r="D77" t="str">
            <v>M001300</v>
          </cell>
        </row>
        <row r="78">
          <cell r="A78" t="str">
            <v>M001301S01</v>
          </cell>
          <cell r="B78" t="str">
            <v>杨禄珍</v>
          </cell>
          <cell r="D78" t="str">
            <v>M001301</v>
          </cell>
        </row>
        <row r="79">
          <cell r="A79" t="str">
            <v>M001303S01</v>
          </cell>
          <cell r="B79" t="str">
            <v>张金和</v>
          </cell>
          <cell r="D79" t="str">
            <v>M001303</v>
          </cell>
        </row>
        <row r="80">
          <cell r="A80" t="str">
            <v>M001304S01</v>
          </cell>
          <cell r="B80" t="str">
            <v>刘稳香</v>
          </cell>
          <cell r="D80" t="str">
            <v>M001304</v>
          </cell>
        </row>
        <row r="81">
          <cell r="A81" t="str">
            <v>M001305S01</v>
          </cell>
          <cell r="B81" t="str">
            <v>戈永胜</v>
          </cell>
          <cell r="D81" t="str">
            <v>M001305</v>
          </cell>
        </row>
        <row r="82">
          <cell r="A82" t="str">
            <v>M001307S01</v>
          </cell>
          <cell r="B82" t="str">
            <v>王克琦</v>
          </cell>
          <cell r="D82" t="str">
            <v>M001307</v>
          </cell>
        </row>
        <row r="83">
          <cell r="A83" t="str">
            <v>M001308S01</v>
          </cell>
          <cell r="B83" t="str">
            <v>刘富春</v>
          </cell>
          <cell r="D83" t="str">
            <v>M001308</v>
          </cell>
        </row>
        <row r="84">
          <cell r="A84" t="str">
            <v>M001309S01</v>
          </cell>
          <cell r="B84" t="str">
            <v>王保才</v>
          </cell>
          <cell r="D84" t="str">
            <v>M001309</v>
          </cell>
        </row>
        <row r="85">
          <cell r="A85" t="str">
            <v>M001310S01</v>
          </cell>
          <cell r="B85" t="str">
            <v>张圣朋</v>
          </cell>
          <cell r="D85" t="str">
            <v>M001310</v>
          </cell>
        </row>
        <row r="86">
          <cell r="A86" t="str">
            <v>M001311S01</v>
          </cell>
          <cell r="B86" t="str">
            <v>陈意山</v>
          </cell>
          <cell r="D86" t="str">
            <v>M001311</v>
          </cell>
        </row>
        <row r="87">
          <cell r="A87" t="str">
            <v>M001312S01</v>
          </cell>
          <cell r="B87" t="str">
            <v>彭传山</v>
          </cell>
          <cell r="D87" t="str">
            <v>M001312</v>
          </cell>
        </row>
        <row r="88">
          <cell r="A88" t="str">
            <v>M001313S01</v>
          </cell>
          <cell r="B88" t="str">
            <v>彭德贤</v>
          </cell>
          <cell r="D88" t="str">
            <v>M001313</v>
          </cell>
        </row>
        <row r="89">
          <cell r="A89" t="str">
            <v>M001314S01</v>
          </cell>
          <cell r="B89" t="str">
            <v>王桂芳</v>
          </cell>
          <cell r="D89" t="str">
            <v>M001314</v>
          </cell>
        </row>
        <row r="90">
          <cell r="A90" t="str">
            <v>M001315S01</v>
          </cell>
          <cell r="B90" t="str">
            <v>王国清</v>
          </cell>
          <cell r="D90" t="str">
            <v>M001315</v>
          </cell>
        </row>
        <row r="91">
          <cell r="A91" t="str">
            <v>M001363S01</v>
          </cell>
          <cell r="B91" t="str">
            <v>王焕丰</v>
          </cell>
          <cell r="D91" t="str">
            <v>M001363</v>
          </cell>
        </row>
        <row r="92">
          <cell r="A92" t="str">
            <v>M001364S01</v>
          </cell>
          <cell r="B92" t="str">
            <v>罗兵顺</v>
          </cell>
          <cell r="D92" t="str">
            <v>M001364</v>
          </cell>
        </row>
        <row r="93">
          <cell r="A93" t="str">
            <v>M001365S01</v>
          </cell>
          <cell r="B93" t="str">
            <v>彭小勇</v>
          </cell>
          <cell r="D93" t="str">
            <v>M001365</v>
          </cell>
        </row>
        <row r="94">
          <cell r="A94" t="str">
            <v>M001366S01</v>
          </cell>
          <cell r="B94" t="str">
            <v>朱小明</v>
          </cell>
          <cell r="D94" t="str">
            <v>M001366</v>
          </cell>
        </row>
        <row r="95">
          <cell r="A95" t="str">
            <v>M000462</v>
          </cell>
          <cell r="B95" t="str">
            <v>宝先</v>
          </cell>
          <cell r="D95" t="str">
            <v>M001367</v>
          </cell>
        </row>
        <row r="96">
          <cell r="A96" t="str">
            <v>M001368S01</v>
          </cell>
          <cell r="B96" t="str">
            <v>朱海华</v>
          </cell>
          <cell r="D96" t="str">
            <v>M001368</v>
          </cell>
        </row>
        <row r="97">
          <cell r="A97" t="str">
            <v>M001369S01</v>
          </cell>
          <cell r="B97" t="str">
            <v>张桂才</v>
          </cell>
          <cell r="D97" t="str">
            <v>M001369</v>
          </cell>
        </row>
        <row r="98">
          <cell r="A98" t="str">
            <v>M001370S01</v>
          </cell>
          <cell r="B98" t="str">
            <v>张清贤</v>
          </cell>
          <cell r="D98" t="str">
            <v>M001370</v>
          </cell>
        </row>
        <row r="99">
          <cell r="A99" t="str">
            <v>M001371S01</v>
          </cell>
          <cell r="B99" t="str">
            <v>翁建余</v>
          </cell>
          <cell r="D99" t="str">
            <v>M001371</v>
          </cell>
        </row>
        <row r="100">
          <cell r="A100" t="str">
            <v>M001372S01</v>
          </cell>
          <cell r="B100" t="str">
            <v>刘回开</v>
          </cell>
          <cell r="D100" t="str">
            <v>M001372</v>
          </cell>
        </row>
        <row r="101">
          <cell r="A101" t="str">
            <v>M001373S01</v>
          </cell>
          <cell r="B101" t="str">
            <v>刘开明</v>
          </cell>
          <cell r="D101" t="str">
            <v>M001373</v>
          </cell>
        </row>
        <row r="102">
          <cell r="A102" t="str">
            <v>M001374S01</v>
          </cell>
          <cell r="B102" t="str">
            <v>刘金开</v>
          </cell>
          <cell r="D102" t="str">
            <v>M001374</v>
          </cell>
        </row>
        <row r="103">
          <cell r="A103" t="str">
            <v>M001375S01</v>
          </cell>
          <cell r="B103" t="str">
            <v>某某</v>
          </cell>
          <cell r="D103" t="str">
            <v>M001375</v>
          </cell>
        </row>
        <row r="104">
          <cell r="A104" t="str">
            <v>M001376S01</v>
          </cell>
          <cell r="B104" t="str">
            <v>江要基</v>
          </cell>
          <cell r="D104" t="str">
            <v>M001376</v>
          </cell>
        </row>
        <row r="105">
          <cell r="A105" t="str">
            <v>M001380S01</v>
          </cell>
          <cell r="B105" t="str">
            <v>胡凌峰</v>
          </cell>
          <cell r="D105" t="str">
            <v>M001380</v>
          </cell>
        </row>
        <row r="106">
          <cell r="A106" t="str">
            <v>M001381S01</v>
          </cell>
          <cell r="B106" t="str">
            <v>颜平</v>
          </cell>
          <cell r="D106" t="str">
            <v>M001381</v>
          </cell>
        </row>
        <row r="107">
          <cell r="A107" t="str">
            <v>M001382S01</v>
          </cell>
          <cell r="B107" t="str">
            <v>陈清华</v>
          </cell>
          <cell r="D107" t="str">
            <v>M001382</v>
          </cell>
        </row>
        <row r="108">
          <cell r="A108" t="str">
            <v>M001383S01</v>
          </cell>
          <cell r="B108" t="str">
            <v>余颂业</v>
          </cell>
          <cell r="D108" t="str">
            <v>M001383</v>
          </cell>
        </row>
        <row r="109">
          <cell r="A109" t="str">
            <v>M001384S01</v>
          </cell>
          <cell r="B109" t="str">
            <v>陈远光</v>
          </cell>
          <cell r="D109" t="str">
            <v>M001384</v>
          </cell>
        </row>
        <row r="110">
          <cell r="A110" t="str">
            <v>M001385S01</v>
          </cell>
          <cell r="B110" t="str">
            <v>刘余生</v>
          </cell>
          <cell r="D110" t="str">
            <v>M001385</v>
          </cell>
        </row>
        <row r="111">
          <cell r="A111" t="str">
            <v>M001386S01</v>
          </cell>
          <cell r="B111" t="str">
            <v>王三峰</v>
          </cell>
          <cell r="D111" t="str">
            <v>M001386</v>
          </cell>
        </row>
        <row r="112">
          <cell r="A112" t="str">
            <v>M001387S01</v>
          </cell>
          <cell r="B112" t="str">
            <v>某某</v>
          </cell>
          <cell r="D112" t="str">
            <v>M001387</v>
          </cell>
        </row>
        <row r="113">
          <cell r="A113" t="str">
            <v>M001388S01</v>
          </cell>
          <cell r="B113" t="str">
            <v>某某</v>
          </cell>
          <cell r="D113" t="str">
            <v>M001388</v>
          </cell>
        </row>
        <row r="114">
          <cell r="A114" t="str">
            <v>M001354</v>
          </cell>
          <cell r="B114" t="str">
            <v>铁顺</v>
          </cell>
          <cell r="D114" t="str">
            <v>M001389</v>
          </cell>
        </row>
        <row r="115">
          <cell r="A115" t="str">
            <v>M001390S01</v>
          </cell>
          <cell r="B115" t="str">
            <v>唐尧芬</v>
          </cell>
          <cell r="D115" t="str">
            <v>M001390</v>
          </cell>
        </row>
        <row r="116">
          <cell r="A116" t="str">
            <v>M001391S01</v>
          </cell>
          <cell r="B116" t="str">
            <v>某某</v>
          </cell>
          <cell r="D116" t="str">
            <v>M001391</v>
          </cell>
        </row>
        <row r="117">
          <cell r="A117" t="str">
            <v>M001394S01</v>
          </cell>
          <cell r="B117" t="str">
            <v>张根兴</v>
          </cell>
          <cell r="D117" t="str">
            <v>M001394</v>
          </cell>
        </row>
        <row r="118">
          <cell r="A118" t="str">
            <v>M001395S01</v>
          </cell>
          <cell r="B118" t="str">
            <v>刘安柱</v>
          </cell>
          <cell r="D118" t="str">
            <v>M001395</v>
          </cell>
        </row>
        <row r="119">
          <cell r="A119" t="str">
            <v>M001396S01</v>
          </cell>
          <cell r="B119" t="str">
            <v>刘清顺</v>
          </cell>
          <cell r="D119" t="str">
            <v>M001396</v>
          </cell>
        </row>
        <row r="120">
          <cell r="A120" t="str">
            <v>M001397S01</v>
          </cell>
          <cell r="B120" t="str">
            <v>彭乐绪</v>
          </cell>
          <cell r="D120" t="str">
            <v>M001397</v>
          </cell>
        </row>
        <row r="121">
          <cell r="A121" t="str">
            <v>M001398S01</v>
          </cell>
          <cell r="B121" t="str">
            <v>刘全德</v>
          </cell>
          <cell r="D121" t="str">
            <v>M001398</v>
          </cell>
        </row>
        <row r="122">
          <cell r="A122" t="str">
            <v>M001399S01</v>
          </cell>
          <cell r="B122" t="str">
            <v>张五和</v>
          </cell>
          <cell r="D122" t="str">
            <v>M001399</v>
          </cell>
        </row>
        <row r="123">
          <cell r="A123" t="str">
            <v>M001400S01</v>
          </cell>
          <cell r="B123" t="str">
            <v>朱益平</v>
          </cell>
          <cell r="D123" t="str">
            <v>M001400</v>
          </cell>
        </row>
        <row r="124">
          <cell r="A124" t="str">
            <v>M001401S01</v>
          </cell>
          <cell r="B124" t="str">
            <v>某某</v>
          </cell>
          <cell r="D124" t="str">
            <v>M001401</v>
          </cell>
        </row>
        <row r="125">
          <cell r="A125" t="str">
            <v>M001426S01</v>
          </cell>
          <cell r="B125" t="str">
            <v>周良初</v>
          </cell>
          <cell r="D125" t="str">
            <v>M001426</v>
          </cell>
        </row>
        <row r="126">
          <cell r="A126" t="str">
            <v>M001427S01</v>
          </cell>
          <cell r="B126" t="str">
            <v>周道义</v>
          </cell>
          <cell r="D126" t="str">
            <v>M001427</v>
          </cell>
        </row>
        <row r="127">
          <cell r="A127" t="str">
            <v>M001335</v>
          </cell>
          <cell r="B127" t="str">
            <v>健良</v>
          </cell>
          <cell r="D127" t="str">
            <v>M001428</v>
          </cell>
        </row>
        <row r="128">
          <cell r="A128" t="str">
            <v>M001432S01</v>
          </cell>
          <cell r="B128" t="str">
            <v>康立东</v>
          </cell>
          <cell r="D128" t="str">
            <v>M001432</v>
          </cell>
        </row>
        <row r="129">
          <cell r="A129" t="str">
            <v>M001433S01</v>
          </cell>
          <cell r="B129" t="str">
            <v>刘洪良</v>
          </cell>
          <cell r="D129" t="str">
            <v>M001433</v>
          </cell>
        </row>
        <row r="130">
          <cell r="A130" t="str">
            <v>M001434S01</v>
          </cell>
          <cell r="B130" t="str">
            <v>谢建华</v>
          </cell>
          <cell r="D130" t="str">
            <v>M001434</v>
          </cell>
        </row>
        <row r="131">
          <cell r="A131" t="str">
            <v>M001435S01</v>
          </cell>
          <cell r="B131" t="str">
            <v>王成</v>
          </cell>
          <cell r="D131" t="str">
            <v>M001435</v>
          </cell>
        </row>
        <row r="132">
          <cell r="A132" t="str">
            <v>M001436S01</v>
          </cell>
          <cell r="B132" t="str">
            <v>高俊</v>
          </cell>
          <cell r="D132" t="str">
            <v>M001436</v>
          </cell>
        </row>
        <row r="133">
          <cell r="A133" t="str">
            <v>M001437S01</v>
          </cell>
          <cell r="B133" t="str">
            <v>杨彬文</v>
          </cell>
          <cell r="D133" t="str">
            <v>M001437</v>
          </cell>
        </row>
        <row r="134">
          <cell r="A134" t="str">
            <v>M001438S01</v>
          </cell>
          <cell r="B134" t="str">
            <v>曾昭峰</v>
          </cell>
          <cell r="D134" t="str">
            <v>M001438</v>
          </cell>
        </row>
        <row r="135">
          <cell r="A135" t="str">
            <v>M001440S01</v>
          </cell>
          <cell r="B135" t="str">
            <v>汪东</v>
          </cell>
          <cell r="D135" t="str">
            <v>M001440</v>
          </cell>
        </row>
        <row r="136">
          <cell r="A136" t="str">
            <v>M001446S01</v>
          </cell>
          <cell r="B136" t="str">
            <v>刘刚</v>
          </cell>
          <cell r="D136" t="str">
            <v>M001446</v>
          </cell>
        </row>
        <row r="137">
          <cell r="A137" t="str">
            <v>ZA0190S01</v>
          </cell>
          <cell r="B137" t="str">
            <v>某某</v>
          </cell>
          <cell r="D137" t="str">
            <v>ZA0190</v>
          </cell>
        </row>
        <row r="138">
          <cell r="A138" t="str">
            <v>ZA0204S01</v>
          </cell>
          <cell r="B138" t="str">
            <v>谢彬开</v>
          </cell>
          <cell r="D138" t="str">
            <v>ZA0204</v>
          </cell>
        </row>
        <row r="139">
          <cell r="A139" t="str">
            <v>ZA0205S01</v>
          </cell>
          <cell r="B139" t="str">
            <v>刘月先</v>
          </cell>
          <cell r="D139" t="str">
            <v>ZA0205</v>
          </cell>
        </row>
        <row r="140">
          <cell r="A140" t="str">
            <v>ZA0206S01</v>
          </cell>
          <cell r="B140" t="str">
            <v>刘立长</v>
          </cell>
          <cell r="D140" t="str">
            <v>ZA0206</v>
          </cell>
        </row>
        <row r="141">
          <cell r="A141" t="str">
            <v>ZA0223S01</v>
          </cell>
          <cell r="B141" t="str">
            <v>张家里</v>
          </cell>
          <cell r="D141" t="str">
            <v>ZA0223</v>
          </cell>
        </row>
        <row r="142">
          <cell r="A142" t="str">
            <v>ZA0226S01</v>
          </cell>
          <cell r="B142" t="str">
            <v>张家里</v>
          </cell>
          <cell r="D142" t="str">
            <v>ZA0226</v>
          </cell>
        </row>
        <row r="143">
          <cell r="A143" t="str">
            <v>ZA0228S01</v>
          </cell>
          <cell r="B143" t="str">
            <v>刘富珍</v>
          </cell>
          <cell r="D143" t="str">
            <v>ZA0228</v>
          </cell>
        </row>
        <row r="144">
          <cell r="A144" t="str">
            <v>ZA0237S01</v>
          </cell>
          <cell r="B144" t="str">
            <v>陈发卿</v>
          </cell>
          <cell r="D144" t="str">
            <v>ZA0237</v>
          </cell>
        </row>
        <row r="145">
          <cell r="A145" t="str">
            <v>ZA0238S01</v>
          </cell>
          <cell r="B145" t="str">
            <v>刘文基</v>
          </cell>
          <cell r="D145" t="str">
            <v>ZA0238</v>
          </cell>
        </row>
        <row r="146">
          <cell r="A146" t="str">
            <v>ZA0243S01</v>
          </cell>
          <cell r="B146" t="str">
            <v>熊志强</v>
          </cell>
          <cell r="D146" t="str">
            <v>ZA0243</v>
          </cell>
        </row>
        <row r="147">
          <cell r="A147" t="str">
            <v>ZA0245S01</v>
          </cell>
          <cell r="B147" t="str">
            <v>段继锋</v>
          </cell>
          <cell r="D147" t="str">
            <v>ZA0245</v>
          </cell>
        </row>
        <row r="148">
          <cell r="A148" t="str">
            <v>ZA0250S01</v>
          </cell>
          <cell r="B148" t="str">
            <v>刘桂林</v>
          </cell>
          <cell r="D148" t="str">
            <v>ZA0250</v>
          </cell>
        </row>
        <row r="149">
          <cell r="A149" t="str">
            <v>ZA0251S01</v>
          </cell>
          <cell r="B149" t="str">
            <v>刘勇</v>
          </cell>
          <cell r="D149" t="str">
            <v>ZA0251</v>
          </cell>
        </row>
        <row r="150">
          <cell r="A150" t="str">
            <v>ZA0253S01</v>
          </cell>
          <cell r="B150" t="str">
            <v>刘仲华</v>
          </cell>
          <cell r="D150" t="str">
            <v>ZA0253</v>
          </cell>
        </row>
        <row r="151">
          <cell r="A151" t="str">
            <v>ZA0254S01</v>
          </cell>
          <cell r="B151" t="str">
            <v>刘新云</v>
          </cell>
          <cell r="D151" t="str">
            <v>ZA0254</v>
          </cell>
        </row>
        <row r="152">
          <cell r="A152" t="str">
            <v>ZA0256S01</v>
          </cell>
          <cell r="B152" t="str">
            <v>邓加良</v>
          </cell>
          <cell r="D152" t="str">
            <v>ZA0256</v>
          </cell>
        </row>
        <row r="153">
          <cell r="A153" t="str">
            <v>ZA0264</v>
          </cell>
          <cell r="B153" t="str">
            <v>正明</v>
          </cell>
          <cell r="D153" t="str">
            <v>ZA0265</v>
          </cell>
        </row>
        <row r="154">
          <cell r="A154" t="str">
            <v>ZA0266S01</v>
          </cell>
          <cell r="B154" t="str">
            <v>彭次立</v>
          </cell>
          <cell r="D154" t="str">
            <v>ZA0266</v>
          </cell>
        </row>
        <row r="155">
          <cell r="A155" t="str">
            <v>ZA0267S01</v>
          </cell>
          <cell r="B155" t="str">
            <v>刘华芳</v>
          </cell>
          <cell r="D155" t="str">
            <v>ZA0267</v>
          </cell>
        </row>
        <row r="156">
          <cell r="A156" t="str">
            <v>ZA0273S01</v>
          </cell>
          <cell r="B156" t="str">
            <v>某某</v>
          </cell>
          <cell r="D156" t="str">
            <v>ZA0273</v>
          </cell>
        </row>
        <row r="157">
          <cell r="A157" t="str">
            <v>ZA0282S01</v>
          </cell>
          <cell r="B157" t="str">
            <v>刘彬生</v>
          </cell>
          <cell r="D157" t="str">
            <v>ZA0282</v>
          </cell>
        </row>
        <row r="158">
          <cell r="A158" t="str">
            <v>ZA0283S01</v>
          </cell>
          <cell r="B158" t="str">
            <v>朱传章</v>
          </cell>
          <cell r="D158" t="str">
            <v>ZA0283</v>
          </cell>
        </row>
        <row r="159">
          <cell r="A159" t="str">
            <v>ZA0287S01</v>
          </cell>
          <cell r="B159" t="str">
            <v>熊木金</v>
          </cell>
          <cell r="D159" t="str">
            <v>ZA0287</v>
          </cell>
        </row>
        <row r="160">
          <cell r="A160" t="str">
            <v>ZA0288S01</v>
          </cell>
          <cell r="B160" t="str">
            <v>刘新开</v>
          </cell>
          <cell r="D160" t="str">
            <v>ZA0288</v>
          </cell>
        </row>
        <row r="161">
          <cell r="A161" t="str">
            <v>ZA0289S01</v>
          </cell>
          <cell r="B161" t="str">
            <v>朱桥生</v>
          </cell>
          <cell r="D161" t="str">
            <v>ZA0289</v>
          </cell>
        </row>
        <row r="162">
          <cell r="A162" t="str">
            <v>ZA0290S01</v>
          </cell>
          <cell r="B162" t="str">
            <v>张小平</v>
          </cell>
          <cell r="D162" t="str">
            <v>ZA0290</v>
          </cell>
        </row>
        <row r="163">
          <cell r="A163" t="str">
            <v>ZA0291S01</v>
          </cell>
          <cell r="B163" t="str">
            <v>彭前甫</v>
          </cell>
          <cell r="D163" t="str">
            <v>ZA0291</v>
          </cell>
        </row>
        <row r="164">
          <cell r="A164" t="str">
            <v>ZA0292S01</v>
          </cell>
          <cell r="B164" t="str">
            <v>刘方</v>
          </cell>
          <cell r="D164" t="str">
            <v>ZA0292</v>
          </cell>
        </row>
        <row r="165">
          <cell r="A165" t="str">
            <v>M000490S01</v>
          </cell>
          <cell r="D165" t="str">
            <v>M000490</v>
          </cell>
        </row>
        <row r="166">
          <cell r="A166" t="str">
            <v>ZA0200S01</v>
          </cell>
          <cell r="D166" t="str">
            <v>ZA0200</v>
          </cell>
        </row>
      </sheetData>
    </sheetDataSet>
  </externalBook>
</externalLink>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86"/>
  <sheetViews>
    <sheetView tabSelected="1" topLeftCell="B1" workbookViewId="0">
      <selection activeCell="AA290" sqref="AA290"/>
    </sheetView>
  </sheetViews>
  <sheetFormatPr defaultRowHeight="15.75" x14ac:dyDescent="0.25"/>
  <cols>
    <col min="7" max="7" width="7.125" customWidth="1"/>
    <col min="8" max="8" width="12.75" customWidth="1"/>
    <col min="9" max="9" width="8.375" customWidth="1"/>
    <col min="10" max="10" width="11.125" customWidth="1"/>
    <col min="11" max="11" width="7.25" customWidth="1"/>
    <col min="13" max="14" width="11.75" customWidth="1"/>
    <col min="15" max="15" width="26.25" customWidth="1"/>
    <col min="16" max="16" width="7.125" customWidth="1"/>
    <col min="17" max="17" width="11.25" customWidth="1"/>
    <col min="18" max="18" width="19.25" customWidth="1"/>
    <col min="19" max="19" width="13.75" customWidth="1"/>
    <col min="20" max="20" width="13.75" style="2" customWidth="1"/>
    <col min="21" max="22" width="12.5" customWidth="1"/>
    <col min="23" max="23" width="11.75" customWidth="1"/>
    <col min="24" max="24" width="12.25" customWidth="1"/>
    <col min="26" max="27" width="13.625" customWidth="1"/>
  </cols>
  <sheetData>
    <row r="1" spans="1:27" s="4"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r="2" spans="1:27" x14ac:dyDescent="0.25">
      <c r="A2" t="s">
        <v>27</v>
      </c>
      <c r="B2" t="s">
        <v>28</v>
      </c>
      <c r="C2" t="s">
        <v>29</v>
      </c>
      <c r="D2" t="s">
        <v>30</v>
      </c>
      <c r="E2" t="s">
        <v>31</v>
      </c>
      <c r="J2" t="s">
        <v>32</v>
      </c>
      <c r="K2" t="s">
        <v>33</v>
      </c>
      <c r="Q2" t="s">
        <v>34</v>
      </c>
      <c r="R2" t="s">
        <v>35</v>
      </c>
      <c r="S2" t="s">
        <v>36</v>
      </c>
      <c r="T2" s="2" t="s">
        <v>37</v>
      </c>
      <c r="U2" t="s">
        <v>38</v>
      </c>
      <c r="X2" t="s">
        <v>39</v>
      </c>
      <c r="Z2" t="s">
        <v>40</v>
      </c>
      <c r="AA2" t="s">
        <v>41</v>
      </c>
    </row>
    <row r="3" spans="1:27" x14ac:dyDescent="0.25">
      <c r="A3" t="s">
        <v>42</v>
      </c>
      <c r="B3" t="s">
        <v>43</v>
      </c>
      <c r="C3" t="s">
        <v>29</v>
      </c>
      <c r="D3" t="s">
        <v>44</v>
      </c>
      <c r="E3" t="s">
        <v>31</v>
      </c>
      <c r="F3" t="s">
        <v>27</v>
      </c>
      <c r="G3" t="s">
        <v>28</v>
      </c>
      <c r="H3" t="str">
        <f>INDEX([1]妻子表!$A:$A,MATCH(F3,[1]妻子表!$B:$B,0))</f>
        <v>M000001W01</v>
      </c>
      <c r="I3" t="str">
        <f>VLOOKUP(H3,[1]妻子表!$A:$D,4,0)</f>
        <v>王氏</v>
      </c>
      <c r="J3" t="s">
        <v>45</v>
      </c>
      <c r="Z3" t="s">
        <v>46</v>
      </c>
      <c r="AA3" t="s">
        <v>47</v>
      </c>
    </row>
    <row r="4" spans="1:27" x14ac:dyDescent="0.25">
      <c r="A4" t="s">
        <v>48</v>
      </c>
      <c r="B4" t="s">
        <v>49</v>
      </c>
      <c r="C4" t="s">
        <v>29</v>
      </c>
      <c r="D4" t="s">
        <v>44</v>
      </c>
      <c r="E4" t="s">
        <v>31</v>
      </c>
      <c r="F4" t="s">
        <v>27</v>
      </c>
      <c r="G4" t="s">
        <v>28</v>
      </c>
      <c r="H4" t="str">
        <f>INDEX([1]妻子表!$A:$A,MATCH(F4,[1]妻子表!$B:$B,0))</f>
        <v>M000001W01</v>
      </c>
      <c r="I4" t="str">
        <f>VLOOKUP(H4,[1]妻子表!$A:$D,4,0)</f>
        <v>王氏</v>
      </c>
      <c r="J4" t="s">
        <v>50</v>
      </c>
      <c r="K4" t="s">
        <v>51</v>
      </c>
      <c r="T4" s="2" t="s">
        <v>52</v>
      </c>
      <c r="U4" t="s">
        <v>38</v>
      </c>
      <c r="AA4" t="s">
        <v>53</v>
      </c>
    </row>
    <row r="5" spans="1:27" ht="31.5" customHeight="1" x14ac:dyDescent="0.25">
      <c r="A5" t="s">
        <v>54</v>
      </c>
      <c r="B5" t="s">
        <v>55</v>
      </c>
      <c r="C5" t="s">
        <v>29</v>
      </c>
      <c r="D5" t="s">
        <v>56</v>
      </c>
      <c r="E5" t="s">
        <v>31</v>
      </c>
      <c r="F5" t="s">
        <v>48</v>
      </c>
      <c r="G5" t="s">
        <v>49</v>
      </c>
      <c r="H5" t="str">
        <f>INDEX([1]妻子表!$A:$A,MATCH(F5,[1]妻子表!$B:$B,0))</f>
        <v>M000003W01</v>
      </c>
      <c r="I5" t="str">
        <f>VLOOKUP(H5,[1]妻子表!$A:$D,4,0)</f>
        <v>王氏</v>
      </c>
      <c r="J5" t="s">
        <v>50</v>
      </c>
      <c r="K5" t="s">
        <v>57</v>
      </c>
      <c r="Q5" t="s">
        <v>58</v>
      </c>
      <c r="R5" t="s">
        <v>59</v>
      </c>
      <c r="S5" t="s">
        <v>60</v>
      </c>
      <c r="T5" s="2" t="s">
        <v>61</v>
      </c>
      <c r="U5" t="s">
        <v>62</v>
      </c>
      <c r="AA5" t="s">
        <v>63</v>
      </c>
    </row>
    <row r="6" spans="1:27" ht="47.25" customHeight="1" x14ac:dyDescent="0.25">
      <c r="A6" t="s">
        <v>64</v>
      </c>
      <c r="B6" t="s">
        <v>65</v>
      </c>
      <c r="C6" t="s">
        <v>29</v>
      </c>
      <c r="D6" t="s">
        <v>66</v>
      </c>
      <c r="E6" t="s">
        <v>31</v>
      </c>
      <c r="F6" t="s">
        <v>54</v>
      </c>
      <c r="G6" t="s">
        <v>55</v>
      </c>
      <c r="H6" t="str">
        <f>INDEX([1]妻子表!$A:$A,MATCH(F6,[1]妻子表!$B:$B,0))</f>
        <v>M000004W01</v>
      </c>
      <c r="I6" t="str">
        <f>VLOOKUP(H6,[1]妻子表!$A:$D,4,0)</f>
        <v>王氏</v>
      </c>
      <c r="J6" t="s">
        <v>50</v>
      </c>
      <c r="Q6" t="s">
        <v>67</v>
      </c>
      <c r="R6" t="s">
        <v>68</v>
      </c>
      <c r="S6" t="s">
        <v>69</v>
      </c>
      <c r="T6" s="2" t="s">
        <v>70</v>
      </c>
      <c r="U6" t="s">
        <v>71</v>
      </c>
      <c r="AA6" t="s">
        <v>72</v>
      </c>
    </row>
    <row r="7" spans="1:27" x14ac:dyDescent="0.25">
      <c r="A7" t="s">
        <v>73</v>
      </c>
      <c r="B7" t="s">
        <v>74</v>
      </c>
      <c r="C7" t="s">
        <v>29</v>
      </c>
      <c r="D7" t="s">
        <v>66</v>
      </c>
      <c r="E7" t="s">
        <v>31</v>
      </c>
      <c r="F7" t="s">
        <v>54</v>
      </c>
      <c r="G7" t="s">
        <v>55</v>
      </c>
      <c r="H7" t="str">
        <f>INDEX([1]妻子表!$A:$A,MATCH(F7,[1]妻子表!$B:$B,0))</f>
        <v>M000004W01</v>
      </c>
      <c r="I7" t="str">
        <f>VLOOKUP(H7,[1]妻子表!$A:$D,4,0)</f>
        <v>王氏</v>
      </c>
      <c r="J7" t="s">
        <v>50</v>
      </c>
    </row>
    <row r="8" spans="1:27" x14ac:dyDescent="0.25">
      <c r="A8" t="s">
        <v>75</v>
      </c>
      <c r="B8" t="s">
        <v>76</v>
      </c>
      <c r="C8" t="s">
        <v>29</v>
      </c>
      <c r="D8" t="s">
        <v>66</v>
      </c>
      <c r="E8" t="s">
        <v>31</v>
      </c>
      <c r="F8" t="s">
        <v>54</v>
      </c>
      <c r="G8" t="s">
        <v>55</v>
      </c>
      <c r="H8" t="str">
        <f>INDEX([1]妻子表!$A:$A,MATCH(F8,[1]妻子表!$B:$B,0))</f>
        <v>M000004W01</v>
      </c>
      <c r="I8" t="str">
        <f>VLOOKUP(H8,[1]妻子表!$A:$D,4,0)</f>
        <v>王氏</v>
      </c>
      <c r="J8" t="s">
        <v>50</v>
      </c>
      <c r="AA8" t="s">
        <v>77</v>
      </c>
    </row>
    <row r="9" spans="1:27" ht="78.75" customHeight="1" x14ac:dyDescent="0.25">
      <c r="A9" t="s">
        <v>78</v>
      </c>
      <c r="B9" t="s">
        <v>79</v>
      </c>
      <c r="C9" t="s">
        <v>29</v>
      </c>
      <c r="D9" t="s">
        <v>80</v>
      </c>
      <c r="E9" t="s">
        <v>31</v>
      </c>
      <c r="F9" t="s">
        <v>64</v>
      </c>
      <c r="G9" t="s">
        <v>65</v>
      </c>
      <c r="H9" t="str">
        <f>INDEX([1]妻子表!$A:$A,MATCH(F9,[1]妻子表!$B:$B,0))</f>
        <v>M000005W01</v>
      </c>
      <c r="I9" t="str">
        <f>VLOOKUP(H9,[1]妻子表!$A:$D,4,0)</f>
        <v>王氏</v>
      </c>
      <c r="J9" t="s">
        <v>50</v>
      </c>
      <c r="Q9" t="s">
        <v>81</v>
      </c>
      <c r="R9" t="s">
        <v>82</v>
      </c>
      <c r="S9" t="s">
        <v>83</v>
      </c>
      <c r="T9" s="2" t="s">
        <v>84</v>
      </c>
      <c r="U9" s="2" t="s">
        <v>85</v>
      </c>
      <c r="V9" s="2"/>
      <c r="AA9" t="s">
        <v>86</v>
      </c>
    </row>
    <row r="10" spans="1:27" x14ac:dyDescent="0.25">
      <c r="A10" t="s">
        <v>87</v>
      </c>
      <c r="B10" t="s">
        <v>88</v>
      </c>
      <c r="C10" t="s">
        <v>29</v>
      </c>
      <c r="D10" t="s">
        <v>80</v>
      </c>
      <c r="E10" t="s">
        <v>31</v>
      </c>
      <c r="F10" t="s">
        <v>64</v>
      </c>
      <c r="G10" t="s">
        <v>65</v>
      </c>
      <c r="H10" t="str">
        <f>INDEX([1]妻子表!$A:$A,MATCH(F10,[1]妻子表!$B:$B,0))</f>
        <v>M000005W01</v>
      </c>
      <c r="I10" t="str">
        <f>VLOOKUP(H10,[1]妻子表!$A:$D,4,0)</f>
        <v>王氏</v>
      </c>
      <c r="J10" t="s">
        <v>50</v>
      </c>
      <c r="AA10" t="s">
        <v>89</v>
      </c>
    </row>
    <row r="11" spans="1:27" x14ac:dyDescent="0.25">
      <c r="A11" t="s">
        <v>90</v>
      </c>
      <c r="B11" t="s">
        <v>91</v>
      </c>
      <c r="C11" t="s">
        <v>29</v>
      </c>
      <c r="D11" t="s">
        <v>92</v>
      </c>
      <c r="E11" t="s">
        <v>31</v>
      </c>
      <c r="F11" t="s">
        <v>78</v>
      </c>
      <c r="G11" t="s">
        <v>79</v>
      </c>
      <c r="H11" t="str">
        <f>INDEX([1]妻子表!$A:$A,MATCH(F11,[1]妻子表!$B:$B,0))</f>
        <v>M000008W01</v>
      </c>
      <c r="I11" t="str">
        <f>VLOOKUP(H11,[1]妻子表!$A:$D,4,0)</f>
        <v>王氏</v>
      </c>
      <c r="J11" t="s">
        <v>50</v>
      </c>
      <c r="K11" t="s">
        <v>93</v>
      </c>
      <c r="T11" s="2" t="s">
        <v>94</v>
      </c>
      <c r="U11" t="s">
        <v>95</v>
      </c>
      <c r="AA11" t="s">
        <v>96</v>
      </c>
    </row>
    <row r="12" spans="1:27" x14ac:dyDescent="0.25">
      <c r="A12" t="s">
        <v>97</v>
      </c>
      <c r="B12" t="s">
        <v>98</v>
      </c>
      <c r="C12" t="s">
        <v>29</v>
      </c>
      <c r="D12" t="s">
        <v>92</v>
      </c>
      <c r="E12" t="s">
        <v>31</v>
      </c>
      <c r="F12" t="s">
        <v>78</v>
      </c>
      <c r="G12" t="s">
        <v>79</v>
      </c>
      <c r="H12" t="str">
        <f>INDEX([1]妻子表!$A:$A,MATCH(F12,[1]妻子表!$B:$B,0))</f>
        <v>M000008W01</v>
      </c>
      <c r="I12" t="str">
        <f>VLOOKUP(H12,[1]妻子表!$A:$D,4,0)</f>
        <v>王氏</v>
      </c>
      <c r="J12" t="s">
        <v>50</v>
      </c>
      <c r="AA12" t="s">
        <v>99</v>
      </c>
    </row>
    <row r="13" spans="1:27" ht="31.5" customHeight="1" x14ac:dyDescent="0.25">
      <c r="A13" t="s">
        <v>100</v>
      </c>
      <c r="B13" t="s">
        <v>101</v>
      </c>
      <c r="C13" t="s">
        <v>29</v>
      </c>
      <c r="D13" t="s">
        <v>102</v>
      </c>
      <c r="E13" t="s">
        <v>31</v>
      </c>
      <c r="F13" t="s">
        <v>90</v>
      </c>
      <c r="G13" t="s">
        <v>91</v>
      </c>
      <c r="H13" t="str">
        <f>INDEX([1]妻子表!$A:$A,MATCH(F13,[1]妻子表!$B:$B,0))</f>
        <v>M000010W01</v>
      </c>
      <c r="I13" t="str">
        <f>VLOOKUP(H13,[1]妻子表!$A:$D,4,0)</f>
        <v>彭氏</v>
      </c>
      <c r="J13" t="s">
        <v>50</v>
      </c>
      <c r="K13" t="s">
        <v>103</v>
      </c>
      <c r="L13" t="s">
        <v>104</v>
      </c>
      <c r="M13" t="s">
        <v>105</v>
      </c>
      <c r="N13" t="s">
        <v>106</v>
      </c>
      <c r="O13" t="s">
        <v>107</v>
      </c>
      <c r="P13" t="s">
        <v>108</v>
      </c>
      <c r="Q13" t="s">
        <v>109</v>
      </c>
      <c r="R13" t="s">
        <v>110</v>
      </c>
      <c r="S13" t="s">
        <v>111</v>
      </c>
      <c r="T13" s="2" t="s">
        <v>112</v>
      </c>
      <c r="U13" t="s">
        <v>113</v>
      </c>
      <c r="Z13" t="s">
        <v>114</v>
      </c>
      <c r="AA13" t="s">
        <v>115</v>
      </c>
    </row>
    <row r="14" spans="1:27" x14ac:dyDescent="0.25">
      <c r="A14" t="s">
        <v>116</v>
      </c>
      <c r="B14" t="s">
        <v>117</v>
      </c>
      <c r="C14" t="s">
        <v>29</v>
      </c>
      <c r="D14" t="s">
        <v>102</v>
      </c>
      <c r="E14" t="s">
        <v>31</v>
      </c>
      <c r="F14" t="s">
        <v>90</v>
      </c>
      <c r="G14" t="s">
        <v>91</v>
      </c>
      <c r="H14" t="str">
        <f>INDEX([1]妻子表!$A:$A,MATCH(F14,[1]妻子表!$B:$B,0))</f>
        <v>M000010W01</v>
      </c>
      <c r="I14" t="str">
        <f>VLOOKUP(H14,[1]妻子表!$A:$D,4,0)</f>
        <v>彭氏</v>
      </c>
      <c r="J14" t="s">
        <v>50</v>
      </c>
    </row>
    <row r="15" spans="1:27" x14ac:dyDescent="0.25">
      <c r="A15" t="s">
        <v>118</v>
      </c>
      <c r="B15" t="s">
        <v>119</v>
      </c>
      <c r="C15" t="s">
        <v>29</v>
      </c>
      <c r="D15" t="s">
        <v>102</v>
      </c>
      <c r="E15" t="s">
        <v>31</v>
      </c>
      <c r="F15" t="s">
        <v>90</v>
      </c>
      <c r="G15" t="s">
        <v>91</v>
      </c>
      <c r="H15" t="str">
        <f>INDEX([1]妻子表!$A:$A,MATCH(F15,[1]妻子表!$B:$B,0))</f>
        <v>M000010W01</v>
      </c>
      <c r="I15" t="str">
        <f>VLOOKUP(H15,[1]妻子表!$A:$D,4,0)</f>
        <v>彭氏</v>
      </c>
      <c r="J15" t="s">
        <v>50</v>
      </c>
      <c r="AA15" t="s">
        <v>120</v>
      </c>
    </row>
    <row r="16" spans="1:27" x14ac:dyDescent="0.25">
      <c r="A16" t="s">
        <v>121</v>
      </c>
      <c r="B16" t="s">
        <v>122</v>
      </c>
      <c r="C16" t="s">
        <v>29</v>
      </c>
      <c r="D16" t="s">
        <v>123</v>
      </c>
      <c r="E16" t="s">
        <v>31</v>
      </c>
      <c r="F16" t="s">
        <v>100</v>
      </c>
      <c r="G16" t="s">
        <v>101</v>
      </c>
      <c r="H16" t="str">
        <f>INDEX([1]妻子表!$A:$A,MATCH(F16,[1]妻子表!$B:$B,0))</f>
        <v>M000012W01</v>
      </c>
      <c r="I16" t="str">
        <f>VLOOKUP(H16,[1]妻子表!$A:$D,4,0)</f>
        <v>王氏</v>
      </c>
      <c r="J16" t="s">
        <v>50</v>
      </c>
      <c r="K16" t="s">
        <v>124</v>
      </c>
      <c r="T16" s="2" t="s">
        <v>125</v>
      </c>
      <c r="U16" t="s">
        <v>38</v>
      </c>
      <c r="AA16" t="s">
        <v>126</v>
      </c>
    </row>
    <row r="17" spans="1:27" x14ac:dyDescent="0.25">
      <c r="A17" t="s">
        <v>127</v>
      </c>
      <c r="B17" t="s">
        <v>128</v>
      </c>
      <c r="C17" t="s">
        <v>29</v>
      </c>
      <c r="D17" t="s">
        <v>123</v>
      </c>
      <c r="E17" t="s">
        <v>31</v>
      </c>
      <c r="F17" t="s">
        <v>100</v>
      </c>
      <c r="G17" t="s">
        <v>101</v>
      </c>
      <c r="H17" t="str">
        <f>INDEX([1]妻子表!$A:$A,MATCH(F17,[1]妻子表!$B:$B,0))</f>
        <v>M000012W01</v>
      </c>
      <c r="I17" t="str">
        <f>VLOOKUP(H17,[1]妻子表!$A:$D,4,0)</f>
        <v>王氏</v>
      </c>
      <c r="J17" t="s">
        <v>50</v>
      </c>
      <c r="AA17" t="s">
        <v>129</v>
      </c>
    </row>
    <row r="18" spans="1:27" x14ac:dyDescent="0.25">
      <c r="A18" t="s">
        <v>130</v>
      </c>
      <c r="B18" t="s">
        <v>131</v>
      </c>
      <c r="C18" t="s">
        <v>29</v>
      </c>
      <c r="D18" t="s">
        <v>132</v>
      </c>
      <c r="E18" t="s">
        <v>31</v>
      </c>
      <c r="F18" t="s">
        <v>121</v>
      </c>
      <c r="G18" t="s">
        <v>122</v>
      </c>
      <c r="H18" t="str">
        <f>INDEX([1]妻子表!$A:$A,MATCH(F18,[1]妻子表!$B:$B,0))</f>
        <v>M000015W01</v>
      </c>
      <c r="I18" t="str">
        <f>VLOOKUP(H18,[1]妻子表!$A:$D,4,0)</f>
        <v>王氏</v>
      </c>
      <c r="J18" t="s">
        <v>50</v>
      </c>
      <c r="K18" t="s">
        <v>133</v>
      </c>
      <c r="Q18" t="s">
        <v>134</v>
      </c>
      <c r="R18" t="s">
        <v>135</v>
      </c>
      <c r="S18" t="s">
        <v>136</v>
      </c>
      <c r="T18" s="2" t="s">
        <v>137</v>
      </c>
      <c r="U18" t="s">
        <v>138</v>
      </c>
      <c r="AA18" t="s">
        <v>139</v>
      </c>
    </row>
    <row r="19" spans="1:27" x14ac:dyDescent="0.25">
      <c r="A19" t="s">
        <v>140</v>
      </c>
      <c r="B19" t="s">
        <v>141</v>
      </c>
      <c r="C19" t="s">
        <v>29</v>
      </c>
      <c r="D19" t="s">
        <v>142</v>
      </c>
      <c r="E19" t="s">
        <v>31</v>
      </c>
      <c r="F19" t="s">
        <v>130</v>
      </c>
      <c r="G19" t="s">
        <v>131</v>
      </c>
      <c r="H19" t="str">
        <f>INDEX([1]妻子表!$A:$A,MATCH(F19,[1]妻子表!$B:$B,0))</f>
        <v>M000017W01</v>
      </c>
      <c r="I19" t="str">
        <f>VLOOKUP(H19,[1]妻子表!$A:$D,4,0)</f>
        <v>李氏</v>
      </c>
      <c r="J19" t="s">
        <v>50</v>
      </c>
      <c r="T19" s="2" t="s">
        <v>143</v>
      </c>
      <c r="U19" t="s">
        <v>138</v>
      </c>
      <c r="AA19" t="s">
        <v>144</v>
      </c>
    </row>
    <row r="20" spans="1:27" x14ac:dyDescent="0.25">
      <c r="A20" t="s">
        <v>145</v>
      </c>
      <c r="B20" t="s">
        <v>146</v>
      </c>
      <c r="C20" t="s">
        <v>29</v>
      </c>
      <c r="D20" t="s">
        <v>147</v>
      </c>
      <c r="E20" t="s">
        <v>31</v>
      </c>
      <c r="F20" t="s">
        <v>140</v>
      </c>
      <c r="G20" t="s">
        <v>141</v>
      </c>
      <c r="H20" t="str">
        <f>INDEX([1]妻子表!$A:$A,MATCH(F20,[1]妻子表!$B:$B,0))</f>
        <v>M000018W01</v>
      </c>
      <c r="I20" t="str">
        <f>VLOOKUP(H20,[1]妻子表!$A:$D,4,0)</f>
        <v>李氏</v>
      </c>
      <c r="J20" t="s">
        <v>50</v>
      </c>
    </row>
    <row r="21" spans="1:27" x14ac:dyDescent="0.25">
      <c r="A21" t="s">
        <v>148</v>
      </c>
      <c r="B21" t="s">
        <v>149</v>
      </c>
      <c r="C21" t="s">
        <v>29</v>
      </c>
      <c r="D21" t="s">
        <v>147</v>
      </c>
      <c r="E21" t="s">
        <v>31</v>
      </c>
      <c r="F21" t="s">
        <v>140</v>
      </c>
      <c r="G21" t="s">
        <v>141</v>
      </c>
      <c r="H21" t="str">
        <f>INDEX([1]妻子表!$A:$A,MATCH(F21,[1]妻子表!$B:$B,0))</f>
        <v>M000018W01</v>
      </c>
      <c r="I21" t="str">
        <f>VLOOKUP(H21,[1]妻子表!$A:$D,4,0)</f>
        <v>李氏</v>
      </c>
      <c r="J21" t="s">
        <v>150</v>
      </c>
      <c r="T21" s="2" t="s">
        <v>151</v>
      </c>
      <c r="U21" t="s">
        <v>95</v>
      </c>
      <c r="X21" t="s">
        <v>152</v>
      </c>
      <c r="AA21" t="s">
        <v>153</v>
      </c>
    </row>
    <row r="22" spans="1:27" x14ac:dyDescent="0.25">
      <c r="A22" t="s">
        <v>154</v>
      </c>
      <c r="B22" t="s">
        <v>155</v>
      </c>
      <c r="C22" t="s">
        <v>29</v>
      </c>
      <c r="D22" t="s">
        <v>147</v>
      </c>
      <c r="E22" t="s">
        <v>31</v>
      </c>
      <c r="F22" t="s">
        <v>140</v>
      </c>
      <c r="G22" t="s">
        <v>141</v>
      </c>
      <c r="H22" t="str">
        <f>INDEX([1]妻子表!$A:$A,MATCH(F22,[1]妻子表!$B:$B,0))</f>
        <v>M000018W01</v>
      </c>
      <c r="I22" t="str">
        <f>VLOOKUP(H22,[1]妻子表!$A:$D,4,0)</f>
        <v>李氏</v>
      </c>
      <c r="J22" t="s">
        <v>156</v>
      </c>
    </row>
    <row r="23" spans="1:27" x14ac:dyDescent="0.25">
      <c r="A23" t="s">
        <v>157</v>
      </c>
      <c r="B23" t="s">
        <v>158</v>
      </c>
      <c r="C23" t="s">
        <v>29</v>
      </c>
      <c r="D23" t="s">
        <v>147</v>
      </c>
      <c r="E23" t="s">
        <v>31</v>
      </c>
      <c r="F23" t="s">
        <v>140</v>
      </c>
      <c r="G23" t="s">
        <v>141</v>
      </c>
      <c r="H23" t="str">
        <f>INDEX([1]妻子表!$A:$A,MATCH(F23,[1]妻子表!$B:$B,0))</f>
        <v>M000018W01</v>
      </c>
      <c r="I23" t="str">
        <f>VLOOKUP(H23,[1]妻子表!$A:$D,4,0)</f>
        <v>李氏</v>
      </c>
      <c r="J23" t="s">
        <v>156</v>
      </c>
    </row>
    <row r="24" spans="1:27" x14ac:dyDescent="0.25">
      <c r="A24" t="s">
        <v>159</v>
      </c>
      <c r="B24" t="s">
        <v>160</v>
      </c>
      <c r="C24" t="s">
        <v>29</v>
      </c>
      <c r="D24" t="s">
        <v>161</v>
      </c>
      <c r="E24" t="s">
        <v>31</v>
      </c>
      <c r="F24" t="s">
        <v>148</v>
      </c>
      <c r="G24" t="s">
        <v>149</v>
      </c>
      <c r="H24" t="str">
        <f>INDEX([1]妻子表!$A:$A,MATCH(F24,[1]妻子表!$B:$B,0))</f>
        <v>M000020W01</v>
      </c>
      <c r="I24" t="str">
        <f>VLOOKUP(H24,[1]妻子表!$A:$D,4,0)</f>
        <v>彭氏</v>
      </c>
      <c r="J24" t="s">
        <v>156</v>
      </c>
    </row>
    <row r="25" spans="1:27" x14ac:dyDescent="0.25">
      <c r="A25" t="s">
        <v>162</v>
      </c>
      <c r="B25" t="s">
        <v>163</v>
      </c>
      <c r="C25" t="s">
        <v>29</v>
      </c>
      <c r="D25" t="s">
        <v>161</v>
      </c>
      <c r="E25" t="s">
        <v>31</v>
      </c>
      <c r="F25" t="s">
        <v>148</v>
      </c>
      <c r="G25" t="s">
        <v>149</v>
      </c>
      <c r="H25" t="str">
        <f>INDEX([1]妻子表!$A:$A,MATCH(F25,[1]妻子表!$B:$B,0))</f>
        <v>M000020W01</v>
      </c>
      <c r="I25" t="str">
        <f>VLOOKUP(H25,[1]妻子表!$A:$D,4,0)</f>
        <v>彭氏</v>
      </c>
      <c r="J25" t="s">
        <v>164</v>
      </c>
      <c r="L25" t="s">
        <v>165</v>
      </c>
      <c r="M25" t="s">
        <v>166</v>
      </c>
      <c r="N25" t="s">
        <v>167</v>
      </c>
      <c r="O25" t="s">
        <v>168</v>
      </c>
      <c r="P25" t="s">
        <v>169</v>
      </c>
      <c r="Q25" t="s">
        <v>170</v>
      </c>
      <c r="R25" t="s">
        <v>171</v>
      </c>
      <c r="S25" t="s">
        <v>172</v>
      </c>
      <c r="T25" s="2" t="s">
        <v>173</v>
      </c>
      <c r="U25" t="s">
        <v>174</v>
      </c>
      <c r="AA25" t="s">
        <v>175</v>
      </c>
    </row>
    <row r="26" spans="1:27" x14ac:dyDescent="0.25">
      <c r="A26" t="s">
        <v>176</v>
      </c>
      <c r="B26" t="s">
        <v>177</v>
      </c>
      <c r="C26" t="s">
        <v>29</v>
      </c>
      <c r="D26" t="s">
        <v>178</v>
      </c>
      <c r="E26" t="s">
        <v>31</v>
      </c>
      <c r="F26" t="s">
        <v>162</v>
      </c>
      <c r="G26" t="s">
        <v>163</v>
      </c>
      <c r="H26" t="str">
        <f>INDEX([1]妻子表!$A:$A,MATCH(F26,[1]妻子表!$B:$B,0))</f>
        <v>M000024W01</v>
      </c>
      <c r="I26" t="str">
        <f>VLOOKUP(H26,[1]妻子表!$A:$D,4,0)</f>
        <v>周氏</v>
      </c>
      <c r="J26" t="s">
        <v>156</v>
      </c>
      <c r="K26" t="s">
        <v>179</v>
      </c>
      <c r="L26" t="s">
        <v>180</v>
      </c>
      <c r="M26" t="s">
        <v>181</v>
      </c>
      <c r="N26" t="s">
        <v>182</v>
      </c>
      <c r="O26" t="s">
        <v>183</v>
      </c>
      <c r="P26" t="s">
        <v>184</v>
      </c>
      <c r="Q26" t="s">
        <v>185</v>
      </c>
      <c r="R26" t="s">
        <v>186</v>
      </c>
      <c r="S26" t="s">
        <v>187</v>
      </c>
      <c r="T26" s="2" t="s">
        <v>188</v>
      </c>
      <c r="U26" t="s">
        <v>189</v>
      </c>
      <c r="AA26" t="s">
        <v>190</v>
      </c>
    </row>
    <row r="27" spans="1:27" x14ac:dyDescent="0.25">
      <c r="A27" t="s">
        <v>191</v>
      </c>
      <c r="B27" t="s">
        <v>192</v>
      </c>
      <c r="C27" t="s">
        <v>29</v>
      </c>
      <c r="D27" t="s">
        <v>193</v>
      </c>
      <c r="E27" t="s">
        <v>31</v>
      </c>
      <c r="F27" t="s">
        <v>176</v>
      </c>
      <c r="G27" t="s">
        <v>177</v>
      </c>
      <c r="H27" t="str">
        <f>INDEX([1]妻子表!$A:$A,MATCH(F27,[1]妻子表!$B:$B,0))</f>
        <v>M000025W01</v>
      </c>
      <c r="I27" t="str">
        <f>VLOOKUP(H27,[1]妻子表!$A:$D,4,0)</f>
        <v>周氏</v>
      </c>
      <c r="J27" t="s">
        <v>194</v>
      </c>
      <c r="K27" t="s">
        <v>195</v>
      </c>
      <c r="L27" t="s">
        <v>196</v>
      </c>
      <c r="M27" t="s">
        <v>197</v>
      </c>
      <c r="N27" t="s">
        <v>198</v>
      </c>
      <c r="O27" t="s">
        <v>199</v>
      </c>
      <c r="P27" t="s">
        <v>200</v>
      </c>
      <c r="Q27" t="s">
        <v>201</v>
      </c>
      <c r="R27" t="s">
        <v>202</v>
      </c>
      <c r="S27" t="s">
        <v>203</v>
      </c>
      <c r="T27" s="2" t="s">
        <v>204</v>
      </c>
      <c r="U27" t="s">
        <v>95</v>
      </c>
      <c r="X27" t="s">
        <v>205</v>
      </c>
      <c r="AA27" t="s">
        <v>206</v>
      </c>
    </row>
    <row r="28" spans="1:27" x14ac:dyDescent="0.25">
      <c r="A28" t="s">
        <v>207</v>
      </c>
      <c r="B28" t="s">
        <v>208</v>
      </c>
      <c r="C28" t="s">
        <v>29</v>
      </c>
      <c r="D28" t="s">
        <v>209</v>
      </c>
      <c r="E28" t="s">
        <v>31</v>
      </c>
      <c r="F28" t="s">
        <v>191</v>
      </c>
      <c r="G28" t="s">
        <v>192</v>
      </c>
      <c r="H28" t="str">
        <f>INDEX([1]妻子表!$A:$A,MATCH(F28,[1]妻子表!$B:$B,0))</f>
        <v>M000026W01</v>
      </c>
      <c r="I28" t="str">
        <f>VLOOKUP(H28,[1]妻子表!$A:$D,4,0)</f>
        <v>彭氏</v>
      </c>
      <c r="J28" t="s">
        <v>194</v>
      </c>
    </row>
    <row r="29" spans="1:27" x14ac:dyDescent="0.25">
      <c r="A29" t="s">
        <v>210</v>
      </c>
      <c r="B29" t="s">
        <v>211</v>
      </c>
      <c r="C29" t="s">
        <v>29</v>
      </c>
      <c r="D29" t="s">
        <v>209</v>
      </c>
      <c r="E29" t="s">
        <v>31</v>
      </c>
      <c r="F29" t="s">
        <v>191</v>
      </c>
      <c r="G29" t="s">
        <v>192</v>
      </c>
      <c r="H29" t="str">
        <f>INDEX([1]妻子表!$A:$A,MATCH(F29,[1]妻子表!$B:$B,0))</f>
        <v>M000026W01</v>
      </c>
      <c r="I29" t="str">
        <f>VLOOKUP(H29,[1]妻子表!$A:$D,4,0)</f>
        <v>彭氏</v>
      </c>
      <c r="J29" t="s">
        <v>194</v>
      </c>
    </row>
    <row r="30" spans="1:27" x14ac:dyDescent="0.25">
      <c r="A30" t="s">
        <v>212</v>
      </c>
      <c r="B30" t="s">
        <v>213</v>
      </c>
      <c r="C30" t="s">
        <v>29</v>
      </c>
      <c r="D30" t="s">
        <v>209</v>
      </c>
      <c r="E30" t="s">
        <v>31</v>
      </c>
      <c r="F30" t="s">
        <v>191</v>
      </c>
      <c r="G30" t="s">
        <v>192</v>
      </c>
      <c r="H30" t="str">
        <f>INDEX([1]妻子表!$A:$A,MATCH(F30,[1]妻子表!$B:$B,0))</f>
        <v>M000026W01</v>
      </c>
      <c r="I30" t="str">
        <f>VLOOKUP(H30,[1]妻子表!$A:$D,4,0)</f>
        <v>彭氏</v>
      </c>
      <c r="J30" t="s">
        <v>194</v>
      </c>
      <c r="T30" s="2" t="s">
        <v>214</v>
      </c>
      <c r="U30" t="s">
        <v>215</v>
      </c>
      <c r="AA30" t="s">
        <v>216</v>
      </c>
    </row>
    <row r="31" spans="1:27" ht="31.5" customHeight="1" x14ac:dyDescent="0.25">
      <c r="A31" t="s">
        <v>217</v>
      </c>
      <c r="B31" t="s">
        <v>218</v>
      </c>
      <c r="C31" t="s">
        <v>29</v>
      </c>
      <c r="D31" t="s">
        <v>209</v>
      </c>
      <c r="E31" t="s">
        <v>31</v>
      </c>
      <c r="F31" t="s">
        <v>191</v>
      </c>
      <c r="G31" t="s">
        <v>192</v>
      </c>
      <c r="H31" t="str">
        <f>INDEX([1]妻子表!$A:$A,MATCH(F31,[1]妻子表!$B:$B,0))</f>
        <v>M000026W01</v>
      </c>
      <c r="I31" t="str">
        <f>VLOOKUP(H31,[1]妻子表!$A:$D,4,0)</f>
        <v>彭氏</v>
      </c>
      <c r="J31" t="s">
        <v>194</v>
      </c>
      <c r="K31" t="s">
        <v>219</v>
      </c>
      <c r="L31" t="s">
        <v>220</v>
      </c>
      <c r="M31" t="s">
        <v>221</v>
      </c>
      <c r="N31" t="s">
        <v>222</v>
      </c>
      <c r="O31" t="s">
        <v>223</v>
      </c>
      <c r="P31" t="s">
        <v>224</v>
      </c>
      <c r="Q31" t="s">
        <v>225</v>
      </c>
      <c r="R31" t="s">
        <v>226</v>
      </c>
      <c r="S31" t="s">
        <v>227</v>
      </c>
      <c r="T31" s="2" t="s">
        <v>228</v>
      </c>
      <c r="U31" t="s">
        <v>229</v>
      </c>
      <c r="AA31" t="s">
        <v>230</v>
      </c>
    </row>
    <row r="32" spans="1:27" x14ac:dyDescent="0.25">
      <c r="A32" t="s">
        <v>231</v>
      </c>
      <c r="B32" t="s">
        <v>232</v>
      </c>
      <c r="C32" t="s">
        <v>29</v>
      </c>
      <c r="D32" t="s">
        <v>233</v>
      </c>
      <c r="E32" t="s">
        <v>31</v>
      </c>
      <c r="F32" t="s">
        <v>212</v>
      </c>
      <c r="G32" t="s">
        <v>213</v>
      </c>
      <c r="H32" t="str">
        <f>INDEX([1]妻子表!$A:$A,MATCH(F32,[1]妻子表!$B:$B,0))</f>
        <v>M000029W01</v>
      </c>
      <c r="I32" t="str">
        <f>VLOOKUP(H32,[1]妻子表!$A:$D,4,0)</f>
        <v>朱氏</v>
      </c>
      <c r="J32" t="s">
        <v>234</v>
      </c>
      <c r="K32" t="s">
        <v>235</v>
      </c>
      <c r="L32" t="s">
        <v>236</v>
      </c>
      <c r="M32" t="s">
        <v>237</v>
      </c>
      <c r="N32" t="s">
        <v>238</v>
      </c>
      <c r="O32" t="s">
        <v>239</v>
      </c>
      <c r="P32" t="s">
        <v>240</v>
      </c>
      <c r="Q32" t="s">
        <v>241</v>
      </c>
      <c r="R32" t="s">
        <v>242</v>
      </c>
      <c r="S32" t="s">
        <v>243</v>
      </c>
      <c r="T32" s="2" t="s">
        <v>244</v>
      </c>
      <c r="U32" t="s">
        <v>245</v>
      </c>
      <c r="X32" t="s">
        <v>246</v>
      </c>
      <c r="Y32" t="s">
        <v>247</v>
      </c>
      <c r="AA32" t="s">
        <v>248</v>
      </c>
    </row>
    <row r="33" spans="1:27" x14ac:dyDescent="0.25">
      <c r="A33" t="s">
        <v>249</v>
      </c>
      <c r="B33" t="s">
        <v>250</v>
      </c>
      <c r="C33" t="s">
        <v>29</v>
      </c>
      <c r="D33" t="s">
        <v>233</v>
      </c>
      <c r="E33" t="s">
        <v>31</v>
      </c>
      <c r="F33" t="s">
        <v>217</v>
      </c>
      <c r="G33" t="s">
        <v>218</v>
      </c>
      <c r="H33" t="str">
        <f>INDEX([1]妻子表!$A:$A,MATCH(F33,[1]妻子表!$B:$B,0))</f>
        <v>M000030W01</v>
      </c>
      <c r="I33" t="str">
        <f>VLOOKUP(H33,[1]妻子表!$A:$D,4,0)</f>
        <v>戴氏</v>
      </c>
      <c r="J33" t="s">
        <v>251</v>
      </c>
      <c r="K33" t="s">
        <v>252</v>
      </c>
      <c r="L33" t="s">
        <v>253</v>
      </c>
      <c r="M33" t="s">
        <v>254</v>
      </c>
      <c r="N33" t="s">
        <v>255</v>
      </c>
      <c r="O33" t="s">
        <v>256</v>
      </c>
      <c r="P33" t="s">
        <v>257</v>
      </c>
      <c r="Q33" t="s">
        <v>258</v>
      </c>
      <c r="R33" t="s">
        <v>259</v>
      </c>
      <c r="S33" t="s">
        <v>260</v>
      </c>
      <c r="T33" s="2" t="s">
        <v>261</v>
      </c>
      <c r="U33" t="s">
        <v>38</v>
      </c>
      <c r="Z33" t="s">
        <v>262</v>
      </c>
      <c r="AA33" t="s">
        <v>263</v>
      </c>
    </row>
    <row r="34" spans="1:27" x14ac:dyDescent="0.25">
      <c r="A34" t="s">
        <v>264</v>
      </c>
      <c r="B34" t="s">
        <v>265</v>
      </c>
      <c r="C34" t="s">
        <v>29</v>
      </c>
      <c r="D34" t="s">
        <v>233</v>
      </c>
      <c r="E34" t="s">
        <v>31</v>
      </c>
      <c r="F34" t="s">
        <v>217</v>
      </c>
      <c r="G34" t="s">
        <v>218</v>
      </c>
      <c r="H34" t="str">
        <f>INDEX([1]妻子表!$A:$A,MATCH(F34,[1]妻子表!$B:$B,0))</f>
        <v>M000030W01</v>
      </c>
      <c r="I34" t="str">
        <f>VLOOKUP(H34,[1]妻子表!$A:$D,4,0)</f>
        <v>戴氏</v>
      </c>
      <c r="J34" t="s">
        <v>194</v>
      </c>
      <c r="AA34" t="s">
        <v>266</v>
      </c>
    </row>
    <row r="35" spans="1:27" x14ac:dyDescent="0.25">
      <c r="A35" t="s">
        <v>267</v>
      </c>
      <c r="B35" t="s">
        <v>268</v>
      </c>
      <c r="C35" t="s">
        <v>29</v>
      </c>
      <c r="D35" t="s">
        <v>269</v>
      </c>
      <c r="E35" t="s">
        <v>31</v>
      </c>
      <c r="F35" t="s">
        <v>231</v>
      </c>
      <c r="G35" t="s">
        <v>232</v>
      </c>
      <c r="H35" t="str">
        <f>INDEX([1]妻子表!$A:$A,MATCH(F35,[1]妻子表!$B:$B,0))</f>
        <v>M000031W01</v>
      </c>
      <c r="I35" t="str">
        <f>VLOOKUP(H35,[1]妻子表!$A:$D,4,0)</f>
        <v>陈氏</v>
      </c>
      <c r="J35" t="s">
        <v>234</v>
      </c>
      <c r="K35" t="s">
        <v>270</v>
      </c>
      <c r="M35" t="s">
        <v>271</v>
      </c>
      <c r="N35" t="s">
        <v>272</v>
      </c>
      <c r="O35" t="s">
        <v>273</v>
      </c>
      <c r="P35" t="s">
        <v>200</v>
      </c>
      <c r="T35" s="2" t="s">
        <v>274</v>
      </c>
      <c r="U35" t="s">
        <v>275</v>
      </c>
      <c r="AA35" t="s">
        <v>276</v>
      </c>
    </row>
    <row r="36" spans="1:27" x14ac:dyDescent="0.25">
      <c r="A36" t="s">
        <v>277</v>
      </c>
      <c r="B36" t="s">
        <v>278</v>
      </c>
      <c r="C36" t="s">
        <v>29</v>
      </c>
      <c r="D36" t="s">
        <v>269</v>
      </c>
      <c r="E36" t="s">
        <v>31</v>
      </c>
      <c r="F36" t="s">
        <v>231</v>
      </c>
      <c r="G36" t="s">
        <v>232</v>
      </c>
      <c r="H36" t="str">
        <f>INDEX([1]妻子表!$A:$A,MATCH(F36,[1]妻子表!$B:$B,0))</f>
        <v>M000031W01</v>
      </c>
      <c r="I36" t="str">
        <f>VLOOKUP(H36,[1]妻子表!$A:$D,4,0)</f>
        <v>陈氏</v>
      </c>
      <c r="J36" t="s">
        <v>234</v>
      </c>
      <c r="K36" t="s">
        <v>279</v>
      </c>
      <c r="M36" t="s">
        <v>280</v>
      </c>
      <c r="N36" t="s">
        <v>281</v>
      </c>
      <c r="O36" t="s">
        <v>282</v>
      </c>
      <c r="P36" t="s">
        <v>169</v>
      </c>
      <c r="T36" s="2" t="s">
        <v>283</v>
      </c>
      <c r="U36" t="s">
        <v>174</v>
      </c>
      <c r="AA36" t="s">
        <v>284</v>
      </c>
    </row>
    <row r="37" spans="1:27" x14ac:dyDescent="0.25">
      <c r="A37" t="s">
        <v>285</v>
      </c>
      <c r="B37" t="s">
        <v>286</v>
      </c>
      <c r="C37" t="s">
        <v>29</v>
      </c>
      <c r="D37" t="s">
        <v>269</v>
      </c>
      <c r="E37" t="s">
        <v>31</v>
      </c>
      <c r="F37" t="s">
        <v>249</v>
      </c>
      <c r="G37" t="s">
        <v>250</v>
      </c>
      <c r="H37" t="str">
        <f>INDEX([1]妻子表!$A:$A,MATCH(F37,[1]妻子表!$B:$B,0))</f>
        <v>M000032W01</v>
      </c>
      <c r="I37" t="str">
        <f>VLOOKUP(H37,[1]妻子表!$A:$D,4,0)</f>
        <v>王氏</v>
      </c>
      <c r="J37" t="s">
        <v>287</v>
      </c>
      <c r="K37" t="s">
        <v>288</v>
      </c>
      <c r="L37" t="s">
        <v>289</v>
      </c>
      <c r="M37" t="s">
        <v>290</v>
      </c>
      <c r="N37" t="s">
        <v>291</v>
      </c>
      <c r="O37" t="s">
        <v>292</v>
      </c>
      <c r="P37" t="s">
        <v>257</v>
      </c>
      <c r="Q37" t="s">
        <v>293</v>
      </c>
      <c r="R37" t="s">
        <v>294</v>
      </c>
      <c r="S37" t="s">
        <v>295</v>
      </c>
      <c r="T37" s="2" t="s">
        <v>296</v>
      </c>
      <c r="U37" t="s">
        <v>297</v>
      </c>
      <c r="Y37" t="s">
        <v>298</v>
      </c>
      <c r="Z37" t="s">
        <v>299</v>
      </c>
      <c r="AA37" t="s">
        <v>300</v>
      </c>
    </row>
    <row r="38" spans="1:27" x14ac:dyDescent="0.25">
      <c r="A38" t="s">
        <v>301</v>
      </c>
      <c r="B38" t="s">
        <v>302</v>
      </c>
      <c r="C38" t="s">
        <v>29</v>
      </c>
      <c r="D38" t="s">
        <v>303</v>
      </c>
      <c r="E38" t="s">
        <v>31</v>
      </c>
      <c r="F38" t="s">
        <v>277</v>
      </c>
      <c r="G38" t="s">
        <v>278</v>
      </c>
      <c r="H38" t="str">
        <f>INDEX([1]妻子表!$A:$A,MATCH(F38,[1]妻子表!$B:$B,0))</f>
        <v>M000035W01</v>
      </c>
      <c r="I38" t="str">
        <f>VLOOKUP(H38,[1]妻子表!$A:$D,4,0)</f>
        <v>刘氏</v>
      </c>
      <c r="J38" t="s">
        <v>156</v>
      </c>
      <c r="K38" t="s">
        <v>304</v>
      </c>
      <c r="T38" s="2" t="s">
        <v>305</v>
      </c>
      <c r="U38" t="s">
        <v>306</v>
      </c>
      <c r="AA38" t="s">
        <v>307</v>
      </c>
    </row>
    <row r="39" spans="1:27" x14ac:dyDescent="0.25">
      <c r="A39" t="s">
        <v>308</v>
      </c>
      <c r="B39" t="s">
        <v>309</v>
      </c>
      <c r="C39" t="s">
        <v>29</v>
      </c>
      <c r="D39" t="s">
        <v>303</v>
      </c>
      <c r="E39" t="s">
        <v>31</v>
      </c>
      <c r="F39" t="s">
        <v>285</v>
      </c>
      <c r="G39" t="s">
        <v>286</v>
      </c>
      <c r="H39" t="str">
        <f>INDEX([1]妻子表!$A:$A,MATCH(F39,[1]妻子表!$B:$B,0))</f>
        <v>M000036W01</v>
      </c>
      <c r="I39" t="str">
        <f>VLOOKUP(H39,[1]妻子表!$A:$D,4,0)</f>
        <v>史氏</v>
      </c>
      <c r="J39" t="s">
        <v>156</v>
      </c>
      <c r="K39" t="s">
        <v>310</v>
      </c>
      <c r="L39" t="s">
        <v>311</v>
      </c>
      <c r="M39" t="s">
        <v>312</v>
      </c>
      <c r="N39" t="s">
        <v>313</v>
      </c>
      <c r="O39" t="s">
        <v>314</v>
      </c>
      <c r="P39" t="s">
        <v>315</v>
      </c>
      <c r="Q39" t="s">
        <v>316</v>
      </c>
      <c r="R39" t="s">
        <v>317</v>
      </c>
      <c r="S39" t="s">
        <v>318</v>
      </c>
      <c r="T39" s="2" t="s">
        <v>319</v>
      </c>
      <c r="U39" t="s">
        <v>320</v>
      </c>
      <c r="Y39" t="s">
        <v>321</v>
      </c>
      <c r="Z39" t="s">
        <v>322</v>
      </c>
      <c r="AA39" t="s">
        <v>323</v>
      </c>
    </row>
    <row r="40" spans="1:27" ht="31.5" customHeight="1" x14ac:dyDescent="0.25">
      <c r="A40" t="s">
        <v>324</v>
      </c>
      <c r="B40" t="s">
        <v>325</v>
      </c>
      <c r="C40" t="s">
        <v>29</v>
      </c>
      <c r="D40" t="s">
        <v>303</v>
      </c>
      <c r="E40" t="s">
        <v>31</v>
      </c>
      <c r="F40" t="s">
        <v>285</v>
      </c>
      <c r="G40" t="s">
        <v>286</v>
      </c>
      <c r="H40" t="str">
        <f>INDEX([1]妻子表!$A:$A,MATCH(F40,[1]妻子表!$B:$B,0))</f>
        <v>M000036W01</v>
      </c>
      <c r="I40" t="str">
        <f>VLOOKUP(H40,[1]妻子表!$A:$D,4,0)</f>
        <v>史氏</v>
      </c>
      <c r="J40" t="s">
        <v>156</v>
      </c>
      <c r="K40" t="s">
        <v>326</v>
      </c>
      <c r="L40" t="s">
        <v>327</v>
      </c>
      <c r="M40" t="s">
        <v>328</v>
      </c>
      <c r="N40" t="s">
        <v>329</v>
      </c>
      <c r="O40" t="s">
        <v>330</v>
      </c>
      <c r="P40" t="s">
        <v>315</v>
      </c>
      <c r="Q40" t="s">
        <v>331</v>
      </c>
      <c r="R40" t="s">
        <v>332</v>
      </c>
      <c r="S40" t="s">
        <v>333</v>
      </c>
      <c r="T40" s="2" t="s">
        <v>334</v>
      </c>
      <c r="U40" t="s">
        <v>335</v>
      </c>
      <c r="Y40" t="s">
        <v>336</v>
      </c>
      <c r="Z40" t="s">
        <v>337</v>
      </c>
      <c r="AA40" t="s">
        <v>338</v>
      </c>
    </row>
    <row r="41" spans="1:27" x14ac:dyDescent="0.25">
      <c r="A41" t="s">
        <v>339</v>
      </c>
      <c r="B41" t="s">
        <v>340</v>
      </c>
      <c r="C41" t="s">
        <v>29</v>
      </c>
      <c r="D41" t="s">
        <v>341</v>
      </c>
      <c r="E41" t="s">
        <v>31</v>
      </c>
      <c r="F41" t="s">
        <v>301</v>
      </c>
      <c r="G41" t="s">
        <v>302</v>
      </c>
      <c r="H41" t="str">
        <f>INDEX([1]妻子表!$A:$A,MATCH(F41,[1]妻子表!$B:$B,0))</f>
        <v>M000037W01</v>
      </c>
      <c r="I41" t="str">
        <f>VLOOKUP(H41,[1]妻子表!$A:$D,4,0)</f>
        <v>旷氏</v>
      </c>
      <c r="J41" t="s">
        <v>156</v>
      </c>
      <c r="T41" s="2" t="s">
        <v>342</v>
      </c>
      <c r="U41" t="s">
        <v>38</v>
      </c>
      <c r="AA41" t="s">
        <v>343</v>
      </c>
    </row>
    <row r="42" spans="1:27" x14ac:dyDescent="0.25">
      <c r="A42" t="s">
        <v>344</v>
      </c>
      <c r="B42" t="s">
        <v>345</v>
      </c>
      <c r="C42" t="s">
        <v>29</v>
      </c>
      <c r="D42" t="s">
        <v>341</v>
      </c>
      <c r="E42" t="s">
        <v>31</v>
      </c>
      <c r="F42" t="s">
        <v>308</v>
      </c>
      <c r="G42" t="s">
        <v>309</v>
      </c>
      <c r="H42" t="str">
        <f>INDEX([1]妻子表!$A:$A,MATCH(F42,[1]妻子表!$B:$B,0))</f>
        <v>M000038W01</v>
      </c>
      <c r="I42" t="str">
        <f>VLOOKUP(H42,[1]妻子表!$A:$D,4,0)</f>
        <v>郭氏</v>
      </c>
      <c r="J42" t="s">
        <v>156</v>
      </c>
      <c r="K42" t="s">
        <v>346</v>
      </c>
      <c r="T42" s="2" t="s">
        <v>347</v>
      </c>
      <c r="AA42" t="s">
        <v>348</v>
      </c>
    </row>
    <row r="43" spans="1:27" x14ac:dyDescent="0.25">
      <c r="A43" t="s">
        <v>349</v>
      </c>
      <c r="B43" t="s">
        <v>350</v>
      </c>
      <c r="C43" t="s">
        <v>29</v>
      </c>
      <c r="D43" t="s">
        <v>351</v>
      </c>
      <c r="E43" t="s">
        <v>31</v>
      </c>
      <c r="F43" t="s">
        <v>344</v>
      </c>
      <c r="G43" t="s">
        <v>345</v>
      </c>
      <c r="H43" t="str">
        <f>INDEX([1]妻子表!$A:$A,MATCH(F43,[1]妻子表!$B:$B,0))</f>
        <v>M000041W01</v>
      </c>
      <c r="I43" t="str">
        <f>VLOOKUP(H43,[1]妻子表!$A:$D,4,0)</f>
        <v>谢氏</v>
      </c>
      <c r="J43" t="s">
        <v>156</v>
      </c>
      <c r="K43" t="s">
        <v>352</v>
      </c>
      <c r="T43" s="2" t="s">
        <v>353</v>
      </c>
      <c r="U43" t="s">
        <v>354</v>
      </c>
      <c r="Y43" t="s">
        <v>247</v>
      </c>
      <c r="AA43" t="s">
        <v>355</v>
      </c>
    </row>
    <row r="44" spans="1:27" x14ac:dyDescent="0.25">
      <c r="A44" t="s">
        <v>356</v>
      </c>
      <c r="B44" t="s">
        <v>357</v>
      </c>
      <c r="C44" t="s">
        <v>29</v>
      </c>
      <c r="D44" t="s">
        <v>303</v>
      </c>
      <c r="E44" t="s">
        <v>358</v>
      </c>
      <c r="F44" t="s">
        <v>267</v>
      </c>
      <c r="G44" t="s">
        <v>268</v>
      </c>
      <c r="H44" t="str">
        <f>INDEX([1]妻子表!$A:$A,MATCH(F44,[1]妻子表!$B:$B,0))</f>
        <v>M000034W01</v>
      </c>
      <c r="I44" t="str">
        <f>VLOOKUP(H44,[1]妻子表!$A:$D,4,0)</f>
        <v>曾氏</v>
      </c>
      <c r="J44" t="s">
        <v>359</v>
      </c>
      <c r="K44" t="s">
        <v>360</v>
      </c>
      <c r="L44" t="s">
        <v>361</v>
      </c>
      <c r="M44" t="s">
        <v>362</v>
      </c>
      <c r="N44" t="s">
        <v>363</v>
      </c>
      <c r="O44" t="s">
        <v>364</v>
      </c>
      <c r="P44" t="s">
        <v>184</v>
      </c>
      <c r="Q44" t="s">
        <v>365</v>
      </c>
      <c r="R44" t="s">
        <v>366</v>
      </c>
      <c r="S44" t="s">
        <v>367</v>
      </c>
      <c r="T44" s="2" t="s">
        <v>368</v>
      </c>
      <c r="U44" t="s">
        <v>354</v>
      </c>
      <c r="X44" t="s">
        <v>369</v>
      </c>
      <c r="AA44" t="s">
        <v>370</v>
      </c>
    </row>
    <row r="45" spans="1:27" x14ac:dyDescent="0.25">
      <c r="A45" t="s">
        <v>371</v>
      </c>
      <c r="B45" t="s">
        <v>372</v>
      </c>
      <c r="C45" t="s">
        <v>29</v>
      </c>
      <c r="D45" t="s">
        <v>341</v>
      </c>
      <c r="E45" t="s">
        <v>358</v>
      </c>
      <c r="F45" t="s">
        <v>356</v>
      </c>
      <c r="G45" t="s">
        <v>357</v>
      </c>
      <c r="H45" t="str">
        <f>INDEX([1]妻子表!$A:$A,MATCH(F45,[1]妻子表!$B:$B,0))</f>
        <v>M002036W01</v>
      </c>
      <c r="I45" t="str">
        <f>VLOOKUP(H45,[1]妻子表!$A:$D,4,0)</f>
        <v>谢氏</v>
      </c>
      <c r="J45" t="s">
        <v>359</v>
      </c>
      <c r="K45" t="s">
        <v>373</v>
      </c>
      <c r="L45" t="s">
        <v>374</v>
      </c>
      <c r="M45" t="s">
        <v>375</v>
      </c>
      <c r="N45" t="s">
        <v>226</v>
      </c>
      <c r="O45" t="s">
        <v>376</v>
      </c>
      <c r="P45" t="s">
        <v>257</v>
      </c>
      <c r="Q45" t="s">
        <v>377</v>
      </c>
      <c r="R45" t="s">
        <v>378</v>
      </c>
      <c r="S45" t="s">
        <v>379</v>
      </c>
      <c r="T45" s="2" t="s">
        <v>380</v>
      </c>
      <c r="U45" t="s">
        <v>138</v>
      </c>
      <c r="AA45" t="s">
        <v>381</v>
      </c>
    </row>
    <row r="46" spans="1:27" x14ac:dyDescent="0.25">
      <c r="A46" t="s">
        <v>382</v>
      </c>
      <c r="B46" t="s">
        <v>383</v>
      </c>
      <c r="C46" t="s">
        <v>29</v>
      </c>
      <c r="D46" t="s">
        <v>341</v>
      </c>
      <c r="E46" t="s">
        <v>358</v>
      </c>
      <c r="F46" t="s">
        <v>356</v>
      </c>
      <c r="G46" t="s">
        <v>357</v>
      </c>
      <c r="H46" t="str">
        <f>INDEX([1]妻子表!$A:$A,MATCH(F46,[1]妻子表!$B:$B,0))</f>
        <v>M002036W01</v>
      </c>
      <c r="I46" t="str">
        <f>VLOOKUP(H46,[1]妻子表!$A:$D,4,0)</f>
        <v>谢氏</v>
      </c>
      <c r="J46" t="s">
        <v>359</v>
      </c>
      <c r="M46" t="s">
        <v>384</v>
      </c>
      <c r="N46" t="s">
        <v>385</v>
      </c>
      <c r="O46" t="s">
        <v>386</v>
      </c>
      <c r="P46" t="s">
        <v>108</v>
      </c>
      <c r="T46" s="2" t="s">
        <v>387</v>
      </c>
      <c r="AA46" t="s">
        <v>388</v>
      </c>
    </row>
    <row r="47" spans="1:27" x14ac:dyDescent="0.25">
      <c r="A47" t="s">
        <v>389</v>
      </c>
      <c r="B47" t="s">
        <v>390</v>
      </c>
      <c r="C47" t="s">
        <v>29</v>
      </c>
      <c r="D47" t="s">
        <v>351</v>
      </c>
      <c r="E47" t="s">
        <v>358</v>
      </c>
      <c r="F47" t="s">
        <v>371</v>
      </c>
      <c r="G47" t="s">
        <v>372</v>
      </c>
      <c r="H47" t="str">
        <f>INDEX([1]妻子表!$A:$A,MATCH(F47,[1]妻子表!$B:$B,0))</f>
        <v>M002037W01</v>
      </c>
      <c r="I47" t="str">
        <f>VLOOKUP(H47,[1]妻子表!$A:$D,4,0)</f>
        <v>李氏</v>
      </c>
      <c r="J47" t="s">
        <v>359</v>
      </c>
      <c r="K47" t="s">
        <v>391</v>
      </c>
      <c r="L47" t="s">
        <v>392</v>
      </c>
      <c r="M47" t="s">
        <v>393</v>
      </c>
      <c r="N47" t="s">
        <v>394</v>
      </c>
      <c r="O47" t="s">
        <v>395</v>
      </c>
      <c r="P47" t="s">
        <v>200</v>
      </c>
      <c r="Q47" t="s">
        <v>396</v>
      </c>
      <c r="R47" t="s">
        <v>397</v>
      </c>
      <c r="S47" t="s">
        <v>398</v>
      </c>
      <c r="T47" s="2" t="s">
        <v>399</v>
      </c>
      <c r="U47" t="s">
        <v>306</v>
      </c>
      <c r="AA47" t="s">
        <v>400</v>
      </c>
    </row>
    <row r="48" spans="1:27" x14ac:dyDescent="0.25">
      <c r="A48" t="s">
        <v>401</v>
      </c>
      <c r="B48" t="s">
        <v>402</v>
      </c>
      <c r="C48" t="s">
        <v>29</v>
      </c>
      <c r="D48" t="s">
        <v>351</v>
      </c>
      <c r="E48" t="s">
        <v>358</v>
      </c>
      <c r="F48" t="s">
        <v>371</v>
      </c>
      <c r="G48" t="s">
        <v>372</v>
      </c>
      <c r="H48" t="str">
        <f>INDEX([1]妻子表!$A:$A,MATCH(F48,[1]妻子表!$B:$B,0))</f>
        <v>M002037W01</v>
      </c>
      <c r="I48" t="str">
        <f>VLOOKUP(H48,[1]妻子表!$A:$D,4,0)</f>
        <v>李氏</v>
      </c>
      <c r="J48" t="s">
        <v>359</v>
      </c>
      <c r="K48" t="s">
        <v>391</v>
      </c>
      <c r="L48" t="s">
        <v>403</v>
      </c>
      <c r="M48" t="s">
        <v>404</v>
      </c>
      <c r="N48" t="s">
        <v>405</v>
      </c>
      <c r="O48" t="s">
        <v>406</v>
      </c>
      <c r="P48" t="s">
        <v>407</v>
      </c>
      <c r="Q48" t="s">
        <v>408</v>
      </c>
      <c r="R48" t="s">
        <v>409</v>
      </c>
      <c r="S48" t="s">
        <v>410</v>
      </c>
      <c r="T48" s="2" t="s">
        <v>411</v>
      </c>
      <c r="U48" t="s">
        <v>38</v>
      </c>
      <c r="AA48" t="s">
        <v>412</v>
      </c>
    </row>
    <row r="49" spans="1:27" x14ac:dyDescent="0.25">
      <c r="A49" t="s">
        <v>413</v>
      </c>
      <c r="B49" t="s">
        <v>414</v>
      </c>
      <c r="C49" t="s">
        <v>29</v>
      </c>
      <c r="D49" t="s">
        <v>415</v>
      </c>
      <c r="E49" t="s">
        <v>358</v>
      </c>
      <c r="F49" t="s">
        <v>389</v>
      </c>
      <c r="G49" t="s">
        <v>390</v>
      </c>
      <c r="H49" t="str">
        <f>INDEX([1]妻子表!$A:$A,MATCH(F49,[1]妻子表!$B:$B,0))</f>
        <v>M002039W01</v>
      </c>
      <c r="I49" t="str">
        <f>VLOOKUP(H49,[1]妻子表!$A:$D,4,0)</f>
        <v>旷氏</v>
      </c>
      <c r="J49" t="s">
        <v>359</v>
      </c>
      <c r="K49" t="s">
        <v>416</v>
      </c>
      <c r="L49" t="s">
        <v>417</v>
      </c>
      <c r="M49" t="s">
        <v>418</v>
      </c>
      <c r="N49" t="s">
        <v>419</v>
      </c>
      <c r="O49" t="s">
        <v>420</v>
      </c>
      <c r="P49" t="s">
        <v>184</v>
      </c>
      <c r="Q49" t="s">
        <v>421</v>
      </c>
      <c r="R49" t="s">
        <v>422</v>
      </c>
      <c r="S49" t="s">
        <v>423</v>
      </c>
      <c r="T49" s="2" t="s">
        <v>424</v>
      </c>
      <c r="U49" t="s">
        <v>425</v>
      </c>
      <c r="AA49" t="s">
        <v>426</v>
      </c>
    </row>
    <row r="50" spans="1:27" x14ac:dyDescent="0.25">
      <c r="A50" t="s">
        <v>427</v>
      </c>
      <c r="B50" t="s">
        <v>428</v>
      </c>
      <c r="C50" t="s">
        <v>29</v>
      </c>
      <c r="D50" t="s">
        <v>415</v>
      </c>
      <c r="E50" t="s">
        <v>358</v>
      </c>
      <c r="F50" t="s">
        <v>401</v>
      </c>
      <c r="G50" t="s">
        <v>402</v>
      </c>
      <c r="H50" t="str">
        <f>INDEX([1]妻子表!$A:$A,MATCH(F50,[1]妻子表!$B:$B,0))</f>
        <v>M002040W01</v>
      </c>
      <c r="I50" t="str">
        <f>VLOOKUP(H50,[1]妻子表!$A:$D,4,0)</f>
        <v>王氏</v>
      </c>
      <c r="J50" t="s">
        <v>359</v>
      </c>
      <c r="K50" t="s">
        <v>429</v>
      </c>
      <c r="L50" t="s">
        <v>196</v>
      </c>
      <c r="M50" t="s">
        <v>430</v>
      </c>
      <c r="N50" t="s">
        <v>431</v>
      </c>
      <c r="O50" t="s">
        <v>432</v>
      </c>
      <c r="P50" t="s">
        <v>257</v>
      </c>
      <c r="Q50" t="s">
        <v>433</v>
      </c>
      <c r="R50" t="s">
        <v>434</v>
      </c>
      <c r="S50" t="s">
        <v>435</v>
      </c>
      <c r="T50" s="2" t="s">
        <v>436</v>
      </c>
      <c r="U50" t="s">
        <v>437</v>
      </c>
      <c r="AA50" t="s">
        <v>438</v>
      </c>
    </row>
    <row r="51" spans="1:27" x14ac:dyDescent="0.25">
      <c r="A51" t="s">
        <v>439</v>
      </c>
      <c r="B51" t="s">
        <v>440</v>
      </c>
      <c r="C51" t="s">
        <v>29</v>
      </c>
      <c r="D51" t="s">
        <v>441</v>
      </c>
      <c r="E51" t="s">
        <v>358</v>
      </c>
      <c r="F51" t="s">
        <v>344</v>
      </c>
      <c r="G51" t="s">
        <v>414</v>
      </c>
      <c r="H51" t="str">
        <f>INDEX([1]妻子表!$A:$A,MATCH(F51,[1]妻子表!$B:$B,0))</f>
        <v>M000041W01</v>
      </c>
      <c r="I51" t="str">
        <f>VLOOKUP(H51,[1]妻子表!$A:$D,4,0)</f>
        <v>谢氏</v>
      </c>
      <c r="J51" t="s">
        <v>359</v>
      </c>
      <c r="K51" t="s">
        <v>442</v>
      </c>
      <c r="L51" t="s">
        <v>253</v>
      </c>
      <c r="M51" t="s">
        <v>443</v>
      </c>
      <c r="N51" t="s">
        <v>444</v>
      </c>
      <c r="O51" t="s">
        <v>292</v>
      </c>
      <c r="P51" t="s">
        <v>257</v>
      </c>
      <c r="Q51" t="s">
        <v>445</v>
      </c>
      <c r="R51" t="s">
        <v>446</v>
      </c>
      <c r="S51" t="s">
        <v>447</v>
      </c>
      <c r="T51" s="2" t="s">
        <v>448</v>
      </c>
      <c r="U51" t="s">
        <v>449</v>
      </c>
      <c r="AA51" t="s">
        <v>450</v>
      </c>
    </row>
    <row r="52" spans="1:27" x14ac:dyDescent="0.25">
      <c r="A52" t="s">
        <v>451</v>
      </c>
      <c r="B52" t="s">
        <v>452</v>
      </c>
      <c r="C52" t="s">
        <v>29</v>
      </c>
      <c r="D52" t="s">
        <v>441</v>
      </c>
      <c r="E52" t="s">
        <v>358</v>
      </c>
      <c r="F52" t="s">
        <v>349</v>
      </c>
      <c r="G52" t="s">
        <v>428</v>
      </c>
      <c r="H52" t="str">
        <f>INDEX([1]妻子表!$A:$A,MATCH(F52,[1]妻子表!$B:$B,0))</f>
        <v>M000042W01</v>
      </c>
      <c r="I52" t="str">
        <f>VLOOKUP(H52,[1]妻子表!$A:$D,4,0)</f>
        <v>彭氏</v>
      </c>
      <c r="J52" t="s">
        <v>359</v>
      </c>
      <c r="K52" t="s">
        <v>453</v>
      </c>
      <c r="L52" t="s">
        <v>454</v>
      </c>
      <c r="M52" t="s">
        <v>455</v>
      </c>
      <c r="N52" t="s">
        <v>456</v>
      </c>
      <c r="O52" t="s">
        <v>457</v>
      </c>
      <c r="P52" t="s">
        <v>458</v>
      </c>
      <c r="Q52" t="s">
        <v>459</v>
      </c>
      <c r="R52" t="s">
        <v>460</v>
      </c>
      <c r="S52" t="s">
        <v>461</v>
      </c>
      <c r="T52" s="2" t="s">
        <v>462</v>
      </c>
      <c r="U52" t="s">
        <v>174</v>
      </c>
      <c r="AA52" t="s">
        <v>463</v>
      </c>
    </row>
    <row r="53" spans="1:27" x14ac:dyDescent="0.25">
      <c r="A53" t="s">
        <v>464</v>
      </c>
      <c r="B53" t="s">
        <v>465</v>
      </c>
      <c r="C53" t="s">
        <v>29</v>
      </c>
      <c r="D53" t="s">
        <v>441</v>
      </c>
      <c r="E53" t="s">
        <v>358</v>
      </c>
      <c r="F53" t="s">
        <v>349</v>
      </c>
      <c r="G53" t="s">
        <v>428</v>
      </c>
      <c r="H53" t="str">
        <f>INDEX([1]妻子表!$A:$A,MATCH(F53,[1]妻子表!$B:$B,0))</f>
        <v>M000042W01</v>
      </c>
      <c r="I53" t="str">
        <f>VLOOKUP(H53,[1]妻子表!$A:$D,4,0)</f>
        <v>彭氏</v>
      </c>
      <c r="J53" t="s">
        <v>359</v>
      </c>
      <c r="K53" t="s">
        <v>466</v>
      </c>
      <c r="L53" t="s">
        <v>467</v>
      </c>
      <c r="M53" t="s">
        <v>468</v>
      </c>
      <c r="N53" t="s">
        <v>469</v>
      </c>
      <c r="O53" t="s">
        <v>470</v>
      </c>
      <c r="P53" t="s">
        <v>315</v>
      </c>
      <c r="Q53" t="s">
        <v>471</v>
      </c>
      <c r="R53" t="s">
        <v>472</v>
      </c>
      <c r="S53" t="s">
        <v>473</v>
      </c>
      <c r="T53" s="2" t="s">
        <v>474</v>
      </c>
      <c r="U53" t="s">
        <v>174</v>
      </c>
      <c r="AA53" t="s">
        <v>475</v>
      </c>
    </row>
    <row r="54" spans="1:27" x14ac:dyDescent="0.25">
      <c r="A54" t="s">
        <v>476</v>
      </c>
      <c r="B54" t="s">
        <v>477</v>
      </c>
      <c r="C54" t="s">
        <v>29</v>
      </c>
      <c r="D54" t="s">
        <v>478</v>
      </c>
      <c r="E54" t="s">
        <v>358</v>
      </c>
      <c r="F54" t="s">
        <v>439</v>
      </c>
      <c r="G54" t="s">
        <v>440</v>
      </c>
      <c r="H54" t="str">
        <f>INDEX([1]妻子表!$A:$A,MATCH(F54,[1]妻子表!$B:$B,0))</f>
        <v>M000043W01</v>
      </c>
      <c r="I54" t="str">
        <f>VLOOKUP(H54,[1]妻子表!$A:$D,4,0)</f>
        <v>贺氏</v>
      </c>
      <c r="J54" t="s">
        <v>359</v>
      </c>
      <c r="T54" s="2" t="s">
        <v>479</v>
      </c>
      <c r="U54" t="s">
        <v>480</v>
      </c>
      <c r="AA54" t="s">
        <v>481</v>
      </c>
    </row>
    <row r="55" spans="1:27" x14ac:dyDescent="0.25">
      <c r="A55" t="s">
        <v>482</v>
      </c>
      <c r="B55" t="s">
        <v>483</v>
      </c>
      <c r="C55" t="s">
        <v>29</v>
      </c>
      <c r="D55" t="s">
        <v>478</v>
      </c>
      <c r="E55" t="s">
        <v>358</v>
      </c>
      <c r="F55" t="s">
        <v>439</v>
      </c>
      <c r="G55" t="s">
        <v>440</v>
      </c>
      <c r="H55" t="str">
        <f>INDEX([1]妻子表!$A:$A,MATCH(F55,[1]妻子表!$B:$B,0))</f>
        <v>M000043W01</v>
      </c>
      <c r="I55" t="str">
        <f>VLOOKUP(H55,[1]妻子表!$A:$D,4,0)</f>
        <v>贺氏</v>
      </c>
      <c r="J55" t="s">
        <v>359</v>
      </c>
      <c r="T55" s="2" t="s">
        <v>484</v>
      </c>
      <c r="U55" t="s">
        <v>485</v>
      </c>
      <c r="AA55" t="s">
        <v>486</v>
      </c>
    </row>
    <row r="56" spans="1:27" x14ac:dyDescent="0.25">
      <c r="A56" t="s">
        <v>487</v>
      </c>
      <c r="B56" t="s">
        <v>488</v>
      </c>
      <c r="C56" t="s">
        <v>29</v>
      </c>
      <c r="D56" t="s">
        <v>478</v>
      </c>
      <c r="E56" t="s">
        <v>358</v>
      </c>
      <c r="F56" t="s">
        <v>439</v>
      </c>
      <c r="G56" t="s">
        <v>440</v>
      </c>
      <c r="H56" t="str">
        <f>INDEX([1]妻子表!$A:$A,MATCH(F56,[1]妻子表!$B:$B,0))</f>
        <v>M000043W01</v>
      </c>
      <c r="I56" t="str">
        <f>VLOOKUP(H56,[1]妻子表!$A:$D,4,0)</f>
        <v>贺氏</v>
      </c>
      <c r="J56" t="s">
        <v>359</v>
      </c>
      <c r="AA56" t="s">
        <v>489</v>
      </c>
    </row>
    <row r="57" spans="1:27" x14ac:dyDescent="0.25">
      <c r="A57" t="s">
        <v>490</v>
      </c>
      <c r="B57" t="s">
        <v>491</v>
      </c>
      <c r="C57" t="s">
        <v>29</v>
      </c>
      <c r="D57" t="s">
        <v>478</v>
      </c>
      <c r="E57" t="s">
        <v>358</v>
      </c>
      <c r="F57" t="s">
        <v>439</v>
      </c>
      <c r="G57" t="s">
        <v>440</v>
      </c>
      <c r="H57" t="str">
        <f>INDEX([1]妻子表!$A:$A,MATCH(F57,[1]妻子表!$B:$B,0))</f>
        <v>M000043W01</v>
      </c>
      <c r="I57" t="str">
        <f>VLOOKUP(H57,[1]妻子表!$A:$D,4,0)</f>
        <v>贺氏</v>
      </c>
      <c r="J57" t="s">
        <v>359</v>
      </c>
      <c r="K57" t="s">
        <v>492</v>
      </c>
      <c r="L57" t="s">
        <v>493</v>
      </c>
      <c r="M57" t="s">
        <v>494</v>
      </c>
      <c r="N57" t="s">
        <v>495</v>
      </c>
      <c r="O57" t="s">
        <v>496</v>
      </c>
      <c r="P57" t="s">
        <v>497</v>
      </c>
      <c r="Q57" t="s">
        <v>498</v>
      </c>
      <c r="R57" t="s">
        <v>499</v>
      </c>
      <c r="S57" t="s">
        <v>500</v>
      </c>
      <c r="T57" s="2" t="s">
        <v>501</v>
      </c>
      <c r="U57" t="s">
        <v>138</v>
      </c>
      <c r="AA57" t="s">
        <v>502</v>
      </c>
    </row>
    <row r="58" spans="1:27" ht="31.5" customHeight="1" x14ac:dyDescent="0.25">
      <c r="A58" t="s">
        <v>503</v>
      </c>
      <c r="B58" t="s">
        <v>504</v>
      </c>
      <c r="C58" t="s">
        <v>29</v>
      </c>
      <c r="D58" t="s">
        <v>478</v>
      </c>
      <c r="E58" t="s">
        <v>358</v>
      </c>
      <c r="F58" t="s">
        <v>451</v>
      </c>
      <c r="G58" t="s">
        <v>452</v>
      </c>
      <c r="H58" t="str">
        <f>INDEX([1]妻子表!$A:$A,MATCH(F58,[1]妻子表!$B:$B,0))</f>
        <v>M000044W01</v>
      </c>
      <c r="I58" t="str">
        <f>VLOOKUP(H58,[1]妻子表!$A:$D,4,0)</f>
        <v>刘氏</v>
      </c>
      <c r="J58" t="s">
        <v>359</v>
      </c>
      <c r="K58" t="s">
        <v>505</v>
      </c>
      <c r="L58" t="s">
        <v>506</v>
      </c>
      <c r="M58" t="s">
        <v>507</v>
      </c>
      <c r="N58" t="s">
        <v>508</v>
      </c>
      <c r="O58" t="s">
        <v>509</v>
      </c>
      <c r="P58" t="s">
        <v>224</v>
      </c>
      <c r="Q58" t="s">
        <v>510</v>
      </c>
      <c r="R58" t="s">
        <v>511</v>
      </c>
      <c r="S58" t="s">
        <v>512</v>
      </c>
      <c r="T58" s="2" t="s">
        <v>513</v>
      </c>
      <c r="U58" t="s">
        <v>514</v>
      </c>
      <c r="AA58" t="s">
        <v>515</v>
      </c>
    </row>
    <row r="59" spans="1:27" x14ac:dyDescent="0.25">
      <c r="A59" t="s">
        <v>516</v>
      </c>
      <c r="B59" t="s">
        <v>517</v>
      </c>
      <c r="C59" t="s">
        <v>29</v>
      </c>
      <c r="D59" t="s">
        <v>478</v>
      </c>
      <c r="E59" t="s">
        <v>358</v>
      </c>
      <c r="F59" t="s">
        <v>464</v>
      </c>
      <c r="G59" t="s">
        <v>465</v>
      </c>
      <c r="H59" t="str">
        <f>INDEX([1]妻子表!$A:$A,MATCH(F59,[1]妻子表!$B:$B,0))</f>
        <v>M000045W01</v>
      </c>
      <c r="I59" t="str">
        <f>VLOOKUP(H59,[1]妻子表!$A:$D,4,0)</f>
        <v>刘氏</v>
      </c>
      <c r="J59" t="s">
        <v>359</v>
      </c>
      <c r="K59" t="s">
        <v>505</v>
      </c>
      <c r="L59" t="s">
        <v>518</v>
      </c>
      <c r="M59" t="s">
        <v>519</v>
      </c>
      <c r="N59" t="s">
        <v>520</v>
      </c>
      <c r="O59" t="s">
        <v>521</v>
      </c>
      <c r="P59" t="s">
        <v>315</v>
      </c>
      <c r="Q59" t="s">
        <v>522</v>
      </c>
      <c r="R59" t="s">
        <v>523</v>
      </c>
      <c r="S59" t="s">
        <v>524</v>
      </c>
      <c r="T59" s="2" t="s">
        <v>525</v>
      </c>
      <c r="U59" t="s">
        <v>95</v>
      </c>
      <c r="AA59" t="s">
        <v>526</v>
      </c>
    </row>
    <row r="60" spans="1:27" x14ac:dyDescent="0.25">
      <c r="A60" t="s">
        <v>527</v>
      </c>
      <c r="B60" t="s">
        <v>528</v>
      </c>
      <c r="C60" t="s">
        <v>29</v>
      </c>
      <c r="D60" t="s">
        <v>478</v>
      </c>
      <c r="E60" t="s">
        <v>358</v>
      </c>
      <c r="F60" t="s">
        <v>464</v>
      </c>
      <c r="G60" t="s">
        <v>465</v>
      </c>
      <c r="H60" t="str">
        <f>INDEX([1]妻子表!$A:$A,MATCH(F60,[1]妻子表!$B:$B,0))</f>
        <v>M000045W01</v>
      </c>
      <c r="I60" t="str">
        <f>VLOOKUP(H60,[1]妻子表!$A:$D,4,0)</f>
        <v>刘氏</v>
      </c>
      <c r="J60" t="s">
        <v>359</v>
      </c>
      <c r="T60" s="2" t="s">
        <v>529</v>
      </c>
      <c r="U60" t="s">
        <v>38</v>
      </c>
      <c r="AA60" t="s">
        <v>530</v>
      </c>
    </row>
    <row r="61" spans="1:27" x14ac:dyDescent="0.25">
      <c r="A61" t="s">
        <v>531</v>
      </c>
      <c r="B61" t="s">
        <v>532</v>
      </c>
      <c r="C61" t="s">
        <v>29</v>
      </c>
      <c r="D61" t="s">
        <v>533</v>
      </c>
      <c r="E61" t="s">
        <v>358</v>
      </c>
      <c r="F61" t="s">
        <v>490</v>
      </c>
      <c r="G61" t="s">
        <v>491</v>
      </c>
      <c r="H61" t="str">
        <f>INDEX([1]妻子表!$A:$A,MATCH(F61,[1]妻子表!$B:$B,0))</f>
        <v>M000049W01</v>
      </c>
      <c r="I61" t="str">
        <f>VLOOKUP(H61,[1]妻子表!$A:$D,4,0)</f>
        <v>李氏</v>
      </c>
      <c r="J61" t="s">
        <v>359</v>
      </c>
      <c r="K61" t="s">
        <v>534</v>
      </c>
      <c r="AA61" t="s">
        <v>535</v>
      </c>
    </row>
    <row r="62" spans="1:27" x14ac:dyDescent="0.25">
      <c r="A62" t="s">
        <v>536</v>
      </c>
      <c r="B62" t="s">
        <v>537</v>
      </c>
      <c r="C62" t="s">
        <v>29</v>
      </c>
      <c r="D62" t="s">
        <v>533</v>
      </c>
      <c r="E62" t="s">
        <v>358</v>
      </c>
      <c r="F62" t="s">
        <v>490</v>
      </c>
      <c r="G62" t="s">
        <v>491</v>
      </c>
      <c r="H62" t="str">
        <f>INDEX([1]妻子表!$A:$A,MATCH(F62,[1]妻子表!$B:$B,0))</f>
        <v>M000049W01</v>
      </c>
      <c r="I62" t="str">
        <f>VLOOKUP(H62,[1]妻子表!$A:$D,4,0)</f>
        <v>李氏</v>
      </c>
      <c r="J62" t="s">
        <v>359</v>
      </c>
      <c r="K62" t="s">
        <v>492</v>
      </c>
      <c r="AA62" t="s">
        <v>538</v>
      </c>
    </row>
    <row r="63" spans="1:27" x14ac:dyDescent="0.25">
      <c r="A63" t="s">
        <v>539</v>
      </c>
      <c r="B63" t="s">
        <v>540</v>
      </c>
      <c r="C63" t="s">
        <v>29</v>
      </c>
      <c r="D63" t="s">
        <v>533</v>
      </c>
      <c r="E63" t="s">
        <v>358</v>
      </c>
      <c r="F63" t="s">
        <v>503</v>
      </c>
      <c r="G63" t="s">
        <v>504</v>
      </c>
      <c r="H63" t="str">
        <f>INDEX([1]妻子表!$A:$A,MATCH(F63,[1]妻子表!$B:$B,0))</f>
        <v>M000050W01</v>
      </c>
      <c r="I63" t="str">
        <f>VLOOKUP(H63,[1]妻子表!$A:$D,4,0)</f>
        <v>郭氏</v>
      </c>
      <c r="J63" t="s">
        <v>359</v>
      </c>
      <c r="K63" t="s">
        <v>541</v>
      </c>
      <c r="L63" t="s">
        <v>542</v>
      </c>
      <c r="M63" t="s">
        <v>543</v>
      </c>
      <c r="N63" t="s">
        <v>544</v>
      </c>
      <c r="O63" t="s">
        <v>545</v>
      </c>
      <c r="P63" t="s">
        <v>240</v>
      </c>
      <c r="Q63" t="s">
        <v>546</v>
      </c>
      <c r="R63" t="s">
        <v>547</v>
      </c>
      <c r="S63" t="s">
        <v>548</v>
      </c>
      <c r="T63" s="2" t="s">
        <v>549</v>
      </c>
      <c r="U63" t="s">
        <v>174</v>
      </c>
      <c r="AA63" t="s">
        <v>550</v>
      </c>
    </row>
    <row r="64" spans="1:27" x14ac:dyDescent="0.25">
      <c r="A64" t="s">
        <v>551</v>
      </c>
      <c r="B64" t="s">
        <v>552</v>
      </c>
      <c r="C64" t="s">
        <v>29</v>
      </c>
      <c r="D64" t="s">
        <v>533</v>
      </c>
      <c r="E64" t="s">
        <v>358</v>
      </c>
      <c r="F64" t="s">
        <v>503</v>
      </c>
      <c r="G64" t="s">
        <v>504</v>
      </c>
      <c r="H64" t="str">
        <f>INDEX([1]妻子表!$A:$A,MATCH(F64,[1]妻子表!$B:$B,0))</f>
        <v>M000050W01</v>
      </c>
      <c r="I64" t="str">
        <f>VLOOKUP(H64,[1]妻子表!$A:$D,4,0)</f>
        <v>郭氏</v>
      </c>
      <c r="J64" t="s">
        <v>359</v>
      </c>
      <c r="K64" t="s">
        <v>429</v>
      </c>
      <c r="L64" t="s">
        <v>553</v>
      </c>
      <c r="M64" t="s">
        <v>554</v>
      </c>
      <c r="N64" t="s">
        <v>555</v>
      </c>
      <c r="O64" t="s">
        <v>556</v>
      </c>
      <c r="P64" t="s">
        <v>184</v>
      </c>
      <c r="Q64" t="s">
        <v>557</v>
      </c>
      <c r="R64" t="s">
        <v>558</v>
      </c>
      <c r="S64" t="s">
        <v>559</v>
      </c>
      <c r="T64" s="2" t="s">
        <v>560</v>
      </c>
      <c r="U64" t="s">
        <v>174</v>
      </c>
      <c r="AA64" t="s">
        <v>561</v>
      </c>
    </row>
    <row r="65" spans="1:27" x14ac:dyDescent="0.25">
      <c r="A65" t="s">
        <v>562</v>
      </c>
      <c r="B65" t="s">
        <v>563</v>
      </c>
      <c r="C65" t="s">
        <v>29</v>
      </c>
      <c r="D65" t="s">
        <v>533</v>
      </c>
      <c r="E65" t="s">
        <v>358</v>
      </c>
      <c r="F65" t="s">
        <v>503</v>
      </c>
      <c r="G65" t="s">
        <v>504</v>
      </c>
      <c r="H65" t="str">
        <f>INDEX([1]妻子表!$A:$A,MATCH(F65,[1]妻子表!$B:$B,0))</f>
        <v>M000050W01</v>
      </c>
      <c r="I65" t="str">
        <f>VLOOKUP(H65,[1]妻子表!$A:$D,4,0)</f>
        <v>郭氏</v>
      </c>
      <c r="J65" t="s">
        <v>359</v>
      </c>
      <c r="K65" t="s">
        <v>373</v>
      </c>
      <c r="T65" s="2" t="s">
        <v>564</v>
      </c>
      <c r="U65" t="s">
        <v>565</v>
      </c>
      <c r="AA65" t="s">
        <v>566</v>
      </c>
    </row>
    <row r="66" spans="1:27" x14ac:dyDescent="0.25">
      <c r="A66" t="s">
        <v>567</v>
      </c>
      <c r="B66" t="s">
        <v>568</v>
      </c>
      <c r="C66" t="s">
        <v>29</v>
      </c>
      <c r="D66" t="s">
        <v>533</v>
      </c>
      <c r="E66" t="s">
        <v>358</v>
      </c>
      <c r="F66" t="s">
        <v>503</v>
      </c>
      <c r="G66" t="s">
        <v>504</v>
      </c>
      <c r="H66" t="str">
        <f>INDEX([1]妻子表!$A:$A,MATCH(F66,[1]妻子表!$B:$B,0))</f>
        <v>M000050W01</v>
      </c>
      <c r="I66" t="str">
        <f>VLOOKUP(H66,[1]妻子表!$A:$D,4,0)</f>
        <v>郭氏</v>
      </c>
      <c r="J66" t="s">
        <v>359</v>
      </c>
      <c r="K66" t="s">
        <v>569</v>
      </c>
      <c r="L66" t="s">
        <v>570</v>
      </c>
      <c r="M66" t="s">
        <v>571</v>
      </c>
      <c r="N66" t="s">
        <v>572</v>
      </c>
      <c r="O66" t="s">
        <v>573</v>
      </c>
      <c r="P66" t="s">
        <v>240</v>
      </c>
      <c r="Q66" t="s">
        <v>574</v>
      </c>
      <c r="R66" t="s">
        <v>575</v>
      </c>
      <c r="S66" t="s">
        <v>576</v>
      </c>
      <c r="T66" s="2" t="s">
        <v>577</v>
      </c>
      <c r="U66" t="s">
        <v>174</v>
      </c>
      <c r="AA66" t="s">
        <v>578</v>
      </c>
    </row>
    <row r="67" spans="1:27" ht="31.5" customHeight="1" x14ac:dyDescent="0.25">
      <c r="A67" t="s">
        <v>579</v>
      </c>
      <c r="B67" t="s">
        <v>580</v>
      </c>
      <c r="C67" t="s">
        <v>29</v>
      </c>
      <c r="D67" t="s">
        <v>533</v>
      </c>
      <c r="E67" t="s">
        <v>358</v>
      </c>
      <c r="F67" t="s">
        <v>516</v>
      </c>
      <c r="G67" t="s">
        <v>517</v>
      </c>
      <c r="H67" t="str">
        <f>INDEX([1]妻子表!$A:$A,MATCH(F67,[1]妻子表!$B:$B,0))</f>
        <v>M000051W01</v>
      </c>
      <c r="I67" t="str">
        <f>VLOOKUP(H67,[1]妻子表!$A:$D,4,0)</f>
        <v>彭氏</v>
      </c>
      <c r="J67" t="s">
        <v>359</v>
      </c>
      <c r="K67" t="s">
        <v>492</v>
      </c>
      <c r="L67" t="s">
        <v>581</v>
      </c>
      <c r="M67" t="s">
        <v>582</v>
      </c>
      <c r="N67" t="s">
        <v>583</v>
      </c>
      <c r="O67" t="s">
        <v>584</v>
      </c>
      <c r="P67" t="s">
        <v>240</v>
      </c>
      <c r="Q67" t="s">
        <v>585</v>
      </c>
      <c r="R67" t="s">
        <v>586</v>
      </c>
      <c r="S67" t="s">
        <v>587</v>
      </c>
      <c r="T67" s="2" t="s">
        <v>588</v>
      </c>
      <c r="U67" t="s">
        <v>589</v>
      </c>
      <c r="AA67" t="s">
        <v>590</v>
      </c>
    </row>
    <row r="68" spans="1:27" x14ac:dyDescent="0.25">
      <c r="A68" t="s">
        <v>591</v>
      </c>
      <c r="B68" t="s">
        <v>592</v>
      </c>
      <c r="C68" t="s">
        <v>29</v>
      </c>
      <c r="D68" t="s">
        <v>533</v>
      </c>
      <c r="E68" t="s">
        <v>358</v>
      </c>
      <c r="F68" t="s">
        <v>516</v>
      </c>
      <c r="G68" t="s">
        <v>517</v>
      </c>
      <c r="H68" t="str">
        <f>INDEX([1]妻子表!$A:$A,MATCH(F68,[1]妻子表!$B:$B,0))</f>
        <v>M000051W01</v>
      </c>
      <c r="I68" t="str">
        <f>VLOOKUP(H68,[1]妻子表!$A:$D,4,0)</f>
        <v>彭氏</v>
      </c>
      <c r="J68" t="s">
        <v>359</v>
      </c>
      <c r="T68" s="2" t="s">
        <v>593</v>
      </c>
      <c r="U68" t="s">
        <v>95</v>
      </c>
      <c r="AA68" t="s">
        <v>594</v>
      </c>
    </row>
    <row r="69" spans="1:27" x14ac:dyDescent="0.25">
      <c r="A69" t="s">
        <v>595</v>
      </c>
      <c r="B69" t="s">
        <v>596</v>
      </c>
      <c r="C69" t="s">
        <v>29</v>
      </c>
      <c r="D69" t="s">
        <v>533</v>
      </c>
      <c r="E69" t="s">
        <v>358</v>
      </c>
      <c r="F69" t="s">
        <v>527</v>
      </c>
      <c r="G69" t="s">
        <v>528</v>
      </c>
      <c r="H69" t="str">
        <f>INDEX([1]妻子表!$A:$A,MATCH(F69,[1]妻子表!$B:$B,0))</f>
        <v>M000052W01</v>
      </c>
      <c r="I69" t="str">
        <f>VLOOKUP(H69,[1]妻子表!$A:$D,4,0)</f>
        <v>王氏</v>
      </c>
      <c r="J69" t="s">
        <v>359</v>
      </c>
      <c r="K69" t="s">
        <v>597</v>
      </c>
      <c r="L69" t="s">
        <v>180</v>
      </c>
      <c r="M69" t="s">
        <v>598</v>
      </c>
      <c r="N69" t="s">
        <v>599</v>
      </c>
      <c r="O69" t="s">
        <v>600</v>
      </c>
      <c r="P69" t="s">
        <v>601</v>
      </c>
      <c r="Q69" t="s">
        <v>602</v>
      </c>
      <c r="R69" t="s">
        <v>603</v>
      </c>
      <c r="S69" t="s">
        <v>604</v>
      </c>
      <c r="T69" s="2" t="s">
        <v>605</v>
      </c>
      <c r="U69" t="s">
        <v>95</v>
      </c>
      <c r="AA69" t="s">
        <v>606</v>
      </c>
    </row>
    <row r="70" spans="1:27" x14ac:dyDescent="0.25">
      <c r="A70" t="s">
        <v>607</v>
      </c>
      <c r="B70" t="s">
        <v>608</v>
      </c>
      <c r="C70" t="s">
        <v>29</v>
      </c>
      <c r="D70" t="s">
        <v>533</v>
      </c>
      <c r="E70" t="s">
        <v>358</v>
      </c>
      <c r="F70" t="s">
        <v>527</v>
      </c>
      <c r="G70" t="s">
        <v>528</v>
      </c>
      <c r="H70" t="str">
        <f>INDEX([1]妻子表!$A:$A,MATCH(F70,[1]妻子表!$B:$B,0))</f>
        <v>M000052W01</v>
      </c>
      <c r="I70" t="str">
        <f>VLOOKUP(H70,[1]妻子表!$A:$D,4,0)</f>
        <v>王氏</v>
      </c>
      <c r="J70" t="s">
        <v>359</v>
      </c>
      <c r="T70" s="2" t="s">
        <v>609</v>
      </c>
      <c r="U70" t="s">
        <v>610</v>
      </c>
      <c r="AA70" t="s">
        <v>611</v>
      </c>
    </row>
    <row r="71" spans="1:27" ht="31.5" customHeight="1" x14ac:dyDescent="0.25">
      <c r="A71" t="s">
        <v>612</v>
      </c>
      <c r="B71" t="s">
        <v>613</v>
      </c>
      <c r="C71" t="s">
        <v>29</v>
      </c>
      <c r="D71" t="s">
        <v>614</v>
      </c>
      <c r="E71" t="s">
        <v>358</v>
      </c>
      <c r="F71" t="s">
        <v>539</v>
      </c>
      <c r="G71" t="s">
        <v>540</v>
      </c>
      <c r="H71" t="str">
        <f>INDEX([1]妻子表!$A:$A,MATCH(F71,[1]妻子表!$B:$B,0))</f>
        <v>M000055W01</v>
      </c>
      <c r="I71" t="str">
        <f>VLOOKUP(H71,[1]妻子表!$A:$D,4,0)</f>
        <v>刘氏</v>
      </c>
      <c r="J71" t="s">
        <v>359</v>
      </c>
      <c r="K71" t="s">
        <v>453</v>
      </c>
      <c r="L71" t="s">
        <v>253</v>
      </c>
      <c r="M71" t="s">
        <v>615</v>
      </c>
      <c r="N71" t="s">
        <v>616</v>
      </c>
      <c r="O71" t="s">
        <v>617</v>
      </c>
      <c r="P71" t="s">
        <v>257</v>
      </c>
      <c r="Q71" t="s">
        <v>618</v>
      </c>
      <c r="R71" t="s">
        <v>619</v>
      </c>
      <c r="S71" t="s">
        <v>620</v>
      </c>
      <c r="T71" s="2" t="s">
        <v>621</v>
      </c>
      <c r="U71" t="s">
        <v>622</v>
      </c>
      <c r="AA71" t="s">
        <v>623</v>
      </c>
    </row>
    <row r="72" spans="1:27" x14ac:dyDescent="0.25">
      <c r="A72" t="s">
        <v>624</v>
      </c>
      <c r="B72" t="s">
        <v>625</v>
      </c>
      <c r="C72" t="s">
        <v>29</v>
      </c>
      <c r="D72" t="s">
        <v>614</v>
      </c>
      <c r="E72" t="s">
        <v>358</v>
      </c>
      <c r="F72" t="s">
        <v>539</v>
      </c>
      <c r="G72" t="s">
        <v>540</v>
      </c>
      <c r="H72" t="str">
        <f>INDEX([1]妻子表!$A:$A,MATCH(F72,[1]妻子表!$B:$B,0))</f>
        <v>M000055W01</v>
      </c>
      <c r="I72" t="str">
        <f>VLOOKUP(H72,[1]妻子表!$A:$D,4,0)</f>
        <v>刘氏</v>
      </c>
      <c r="J72" t="s">
        <v>359</v>
      </c>
      <c r="K72" t="s">
        <v>626</v>
      </c>
      <c r="L72" t="s">
        <v>627</v>
      </c>
      <c r="M72" t="s">
        <v>628</v>
      </c>
      <c r="N72" t="s">
        <v>629</v>
      </c>
      <c r="O72" t="s">
        <v>630</v>
      </c>
      <c r="P72" t="s">
        <v>224</v>
      </c>
      <c r="Q72" t="s">
        <v>631</v>
      </c>
      <c r="R72" t="s">
        <v>632</v>
      </c>
      <c r="S72" t="s">
        <v>633</v>
      </c>
      <c r="T72" s="2" t="s">
        <v>634</v>
      </c>
      <c r="U72" t="s">
        <v>38</v>
      </c>
      <c r="AA72" t="s">
        <v>635</v>
      </c>
    </row>
    <row r="73" spans="1:27" x14ac:dyDescent="0.25">
      <c r="A73" t="s">
        <v>636</v>
      </c>
      <c r="B73" t="s">
        <v>637</v>
      </c>
      <c r="C73" t="s">
        <v>29</v>
      </c>
      <c r="D73" t="s">
        <v>614</v>
      </c>
      <c r="E73" t="s">
        <v>358</v>
      </c>
      <c r="F73" t="s">
        <v>551</v>
      </c>
      <c r="G73" t="s">
        <v>552</v>
      </c>
      <c r="H73" t="str">
        <f>INDEX([1]妻子表!$A:$A,MATCH(F73,[1]妻子表!$B:$B,0))</f>
        <v>M000056W01</v>
      </c>
      <c r="I73" t="str">
        <f>VLOOKUP(H73,[1]妻子表!$A:$D,4,0)</f>
        <v>刘氏</v>
      </c>
      <c r="J73" t="s">
        <v>359</v>
      </c>
      <c r="K73" t="s">
        <v>638</v>
      </c>
      <c r="T73" s="2" t="s">
        <v>639</v>
      </c>
      <c r="U73" t="s">
        <v>174</v>
      </c>
      <c r="AA73" t="s">
        <v>640</v>
      </c>
    </row>
    <row r="74" spans="1:27" x14ac:dyDescent="0.25">
      <c r="A74" t="s">
        <v>641</v>
      </c>
      <c r="B74" t="s">
        <v>642</v>
      </c>
      <c r="C74" t="s">
        <v>29</v>
      </c>
      <c r="D74" t="s">
        <v>614</v>
      </c>
      <c r="E74" t="s">
        <v>358</v>
      </c>
      <c r="F74" t="s">
        <v>551</v>
      </c>
      <c r="G74" t="s">
        <v>552</v>
      </c>
      <c r="H74" t="str">
        <f>INDEX([1]妻子表!$A:$A,MATCH(F74,[1]妻子表!$B:$B,0))</f>
        <v>M000056W01</v>
      </c>
      <c r="I74" t="str">
        <f>VLOOKUP(H74,[1]妻子表!$A:$D,4,0)</f>
        <v>刘氏</v>
      </c>
      <c r="J74" t="s">
        <v>359</v>
      </c>
      <c r="K74" t="s">
        <v>626</v>
      </c>
      <c r="L74" t="s">
        <v>403</v>
      </c>
      <c r="M74" t="s">
        <v>643</v>
      </c>
      <c r="N74" t="s">
        <v>644</v>
      </c>
      <c r="O74" t="s">
        <v>645</v>
      </c>
      <c r="P74" t="s">
        <v>458</v>
      </c>
      <c r="Q74" t="s">
        <v>646</v>
      </c>
      <c r="R74" t="s">
        <v>603</v>
      </c>
      <c r="S74" t="s">
        <v>647</v>
      </c>
      <c r="T74" s="2" t="s">
        <v>648</v>
      </c>
      <c r="U74" t="s">
        <v>649</v>
      </c>
      <c r="AA74" t="s">
        <v>650</v>
      </c>
    </row>
    <row r="75" spans="1:27" x14ac:dyDescent="0.25">
      <c r="A75" t="s">
        <v>651</v>
      </c>
      <c r="B75" t="s">
        <v>652</v>
      </c>
      <c r="C75" t="s">
        <v>29</v>
      </c>
      <c r="D75" t="s">
        <v>614</v>
      </c>
      <c r="E75" t="s">
        <v>358</v>
      </c>
      <c r="F75" t="s">
        <v>551</v>
      </c>
      <c r="G75" t="s">
        <v>552</v>
      </c>
      <c r="H75" t="str">
        <f>INDEX([1]妻子表!$A:$A,MATCH(F75,[1]妻子表!$B:$B,0))</f>
        <v>M000056W01</v>
      </c>
      <c r="I75" t="str">
        <f>VLOOKUP(H75,[1]妻子表!$A:$D,4,0)</f>
        <v>刘氏</v>
      </c>
      <c r="J75" t="s">
        <v>359</v>
      </c>
      <c r="K75" t="s">
        <v>492</v>
      </c>
      <c r="T75" s="2" t="s">
        <v>653</v>
      </c>
      <c r="U75" t="s">
        <v>38</v>
      </c>
      <c r="AA75" t="s">
        <v>654</v>
      </c>
    </row>
    <row r="76" spans="1:27" x14ac:dyDescent="0.25">
      <c r="A76" t="s">
        <v>655</v>
      </c>
      <c r="B76" t="s">
        <v>656</v>
      </c>
      <c r="C76" t="s">
        <v>29</v>
      </c>
      <c r="D76" t="s">
        <v>614</v>
      </c>
      <c r="E76" t="s">
        <v>358</v>
      </c>
      <c r="F76" t="s">
        <v>551</v>
      </c>
      <c r="G76" t="s">
        <v>552</v>
      </c>
      <c r="H76" t="str">
        <f>INDEX([1]妻子表!$A:$A,MATCH(F76,[1]妻子表!$B:$B,0))</f>
        <v>M000056W01</v>
      </c>
      <c r="I76" t="str">
        <f>VLOOKUP(H76,[1]妻子表!$A:$D,4,0)</f>
        <v>刘氏</v>
      </c>
      <c r="J76" t="s">
        <v>359</v>
      </c>
      <c r="AA76" t="s">
        <v>657</v>
      </c>
    </row>
    <row r="77" spans="1:27" x14ac:dyDescent="0.25">
      <c r="A77" t="s">
        <v>658</v>
      </c>
      <c r="B77" t="s">
        <v>659</v>
      </c>
      <c r="C77" t="s">
        <v>29</v>
      </c>
      <c r="D77" t="s">
        <v>614</v>
      </c>
      <c r="E77" t="s">
        <v>358</v>
      </c>
      <c r="F77" t="s">
        <v>562</v>
      </c>
      <c r="G77" t="s">
        <v>563</v>
      </c>
      <c r="H77" t="str">
        <f>INDEX([1]妻子表!$A:$A,MATCH(F77,[1]妻子表!$B:$B,0))</f>
        <v>M000057W01</v>
      </c>
      <c r="I77" t="str">
        <f>VLOOKUP(H77,[1]妻子表!$A:$D,4,0)</f>
        <v>孟氏</v>
      </c>
      <c r="J77" t="s">
        <v>359</v>
      </c>
      <c r="T77" s="2" t="s">
        <v>660</v>
      </c>
      <c r="U77" t="s">
        <v>320</v>
      </c>
      <c r="AA77" t="s">
        <v>661</v>
      </c>
    </row>
    <row r="78" spans="1:27" x14ac:dyDescent="0.25">
      <c r="A78" t="s">
        <v>662</v>
      </c>
      <c r="B78" t="s">
        <v>663</v>
      </c>
      <c r="C78" t="s">
        <v>29</v>
      </c>
      <c r="D78" t="s">
        <v>614</v>
      </c>
      <c r="E78" t="s">
        <v>358</v>
      </c>
      <c r="F78" t="s">
        <v>562</v>
      </c>
      <c r="G78" t="s">
        <v>563</v>
      </c>
      <c r="H78" t="str">
        <f>INDEX([1]妻子表!$A:$A,MATCH(F78,[1]妻子表!$B:$B,0))</f>
        <v>M000057W01</v>
      </c>
      <c r="I78" t="str">
        <f>VLOOKUP(H78,[1]妻子表!$A:$D,4,0)</f>
        <v>孟氏</v>
      </c>
      <c r="J78" t="s">
        <v>359</v>
      </c>
      <c r="K78" t="s">
        <v>626</v>
      </c>
      <c r="L78" t="s">
        <v>180</v>
      </c>
      <c r="M78" t="s">
        <v>664</v>
      </c>
      <c r="N78" t="s">
        <v>629</v>
      </c>
      <c r="O78" t="s">
        <v>665</v>
      </c>
      <c r="P78" t="s">
        <v>224</v>
      </c>
      <c r="Q78" t="s">
        <v>666</v>
      </c>
      <c r="R78" t="s">
        <v>667</v>
      </c>
      <c r="S78" t="s">
        <v>668</v>
      </c>
      <c r="T78" s="2" t="s">
        <v>669</v>
      </c>
      <c r="U78" t="s">
        <v>565</v>
      </c>
      <c r="AA78" t="s">
        <v>670</v>
      </c>
    </row>
    <row r="79" spans="1:27" x14ac:dyDescent="0.25">
      <c r="A79" t="s">
        <v>671</v>
      </c>
      <c r="B79" t="s">
        <v>672</v>
      </c>
      <c r="C79" t="s">
        <v>29</v>
      </c>
      <c r="D79" t="s">
        <v>614</v>
      </c>
      <c r="E79" t="s">
        <v>358</v>
      </c>
      <c r="F79" t="s">
        <v>562</v>
      </c>
      <c r="G79" t="s">
        <v>563</v>
      </c>
      <c r="H79" t="str">
        <f>INDEX([1]妻子表!$A:$A,MATCH(F79,[1]妻子表!$B:$B,0))</f>
        <v>M000057W01</v>
      </c>
      <c r="I79" t="str">
        <f>VLOOKUP(H79,[1]妻子表!$A:$D,4,0)</f>
        <v>孟氏</v>
      </c>
      <c r="J79" t="s">
        <v>359</v>
      </c>
      <c r="K79" t="s">
        <v>673</v>
      </c>
      <c r="L79" t="s">
        <v>493</v>
      </c>
      <c r="M79" t="s">
        <v>674</v>
      </c>
      <c r="N79" t="s">
        <v>675</v>
      </c>
      <c r="O79" t="s">
        <v>676</v>
      </c>
      <c r="P79" t="s">
        <v>257</v>
      </c>
      <c r="Q79" t="s">
        <v>677</v>
      </c>
      <c r="R79" t="s">
        <v>678</v>
      </c>
      <c r="S79" t="s">
        <v>679</v>
      </c>
      <c r="T79" s="2" t="s">
        <v>680</v>
      </c>
      <c r="U79" t="s">
        <v>95</v>
      </c>
      <c r="AA79" t="s">
        <v>681</v>
      </c>
    </row>
    <row r="80" spans="1:27" x14ac:dyDescent="0.25">
      <c r="A80" t="s">
        <v>682</v>
      </c>
      <c r="B80" t="s">
        <v>683</v>
      </c>
      <c r="C80" t="s">
        <v>29</v>
      </c>
      <c r="D80" t="s">
        <v>614</v>
      </c>
      <c r="E80" t="s">
        <v>358</v>
      </c>
      <c r="F80" t="s">
        <v>567</v>
      </c>
      <c r="G80" t="s">
        <v>568</v>
      </c>
      <c r="H80" t="str">
        <f>INDEX([1]妻子表!$A:$A,MATCH(F80,[1]妻子表!$B:$B,0))</f>
        <v>M000058W01</v>
      </c>
      <c r="I80" t="str">
        <f>VLOOKUP(H80,[1]妻子表!$A:$D,4,0)</f>
        <v>刘氏</v>
      </c>
      <c r="J80" t="s">
        <v>359</v>
      </c>
      <c r="K80" t="s">
        <v>684</v>
      </c>
      <c r="L80" t="s">
        <v>361</v>
      </c>
      <c r="M80" t="s">
        <v>685</v>
      </c>
      <c r="N80" t="s">
        <v>686</v>
      </c>
      <c r="O80" t="s">
        <v>687</v>
      </c>
      <c r="P80" t="s">
        <v>407</v>
      </c>
      <c r="Q80" t="s">
        <v>688</v>
      </c>
      <c r="R80" t="s">
        <v>689</v>
      </c>
      <c r="S80" t="s">
        <v>690</v>
      </c>
      <c r="T80" s="2" t="s">
        <v>691</v>
      </c>
      <c r="U80" t="s">
        <v>38</v>
      </c>
      <c r="AA80" t="s">
        <v>692</v>
      </c>
    </row>
    <row r="81" spans="1:27" x14ac:dyDescent="0.25">
      <c r="A81" t="s">
        <v>693</v>
      </c>
      <c r="B81" t="s">
        <v>694</v>
      </c>
      <c r="C81" t="s">
        <v>29</v>
      </c>
      <c r="D81" t="s">
        <v>614</v>
      </c>
      <c r="E81" t="s">
        <v>358</v>
      </c>
      <c r="F81" t="s">
        <v>567</v>
      </c>
      <c r="G81" t="s">
        <v>568</v>
      </c>
      <c r="H81" t="str">
        <f>INDEX([1]妻子表!$A:$A,MATCH(F81,[1]妻子表!$B:$B,0))</f>
        <v>M000058W01</v>
      </c>
      <c r="I81" t="str">
        <f>VLOOKUP(H81,[1]妻子表!$A:$D,4,0)</f>
        <v>刘氏</v>
      </c>
      <c r="J81" t="s">
        <v>359</v>
      </c>
      <c r="K81" t="s">
        <v>695</v>
      </c>
      <c r="L81" t="s">
        <v>696</v>
      </c>
      <c r="M81" t="s">
        <v>697</v>
      </c>
      <c r="N81" t="s">
        <v>698</v>
      </c>
      <c r="O81" t="s">
        <v>699</v>
      </c>
      <c r="P81" t="s">
        <v>497</v>
      </c>
      <c r="Q81" t="s">
        <v>700</v>
      </c>
      <c r="R81" t="s">
        <v>701</v>
      </c>
      <c r="S81" t="s">
        <v>702</v>
      </c>
      <c r="T81" s="2" t="s">
        <v>703</v>
      </c>
      <c r="U81" t="s">
        <v>174</v>
      </c>
      <c r="AA81" t="s">
        <v>704</v>
      </c>
    </row>
    <row r="82" spans="1:27" x14ac:dyDescent="0.25">
      <c r="A82" t="s">
        <v>705</v>
      </c>
      <c r="B82" t="s">
        <v>706</v>
      </c>
      <c r="C82" t="s">
        <v>29</v>
      </c>
      <c r="D82" t="s">
        <v>614</v>
      </c>
      <c r="E82" t="s">
        <v>358</v>
      </c>
      <c r="F82" t="s">
        <v>567</v>
      </c>
      <c r="G82" t="s">
        <v>568</v>
      </c>
      <c r="H82" t="str">
        <f>INDEX([1]妻子表!$A:$A,MATCH(F82,[1]妻子表!$B:$B,0))</f>
        <v>M000058W01</v>
      </c>
      <c r="I82" t="str">
        <f>VLOOKUP(H82,[1]妻子表!$A:$D,4,0)</f>
        <v>刘氏</v>
      </c>
      <c r="J82" t="s">
        <v>359</v>
      </c>
      <c r="K82" t="s">
        <v>707</v>
      </c>
      <c r="L82" t="s">
        <v>708</v>
      </c>
      <c r="M82" t="s">
        <v>709</v>
      </c>
      <c r="N82" t="s">
        <v>710</v>
      </c>
      <c r="O82" t="s">
        <v>711</v>
      </c>
      <c r="P82" t="s">
        <v>108</v>
      </c>
      <c r="Q82" t="s">
        <v>712</v>
      </c>
      <c r="R82" t="s">
        <v>713</v>
      </c>
      <c r="S82" t="s">
        <v>714</v>
      </c>
      <c r="T82" s="2" t="s">
        <v>715</v>
      </c>
      <c r="U82" t="s">
        <v>716</v>
      </c>
      <c r="AA82" t="s">
        <v>717</v>
      </c>
    </row>
    <row r="83" spans="1:27" x14ac:dyDescent="0.25">
      <c r="A83" t="s">
        <v>718</v>
      </c>
      <c r="B83" t="s">
        <v>719</v>
      </c>
      <c r="C83" t="s">
        <v>29</v>
      </c>
      <c r="D83" t="s">
        <v>614</v>
      </c>
      <c r="E83" t="s">
        <v>358</v>
      </c>
      <c r="F83" t="s">
        <v>567</v>
      </c>
      <c r="G83" t="s">
        <v>568</v>
      </c>
      <c r="H83" t="str">
        <f>INDEX([1]妻子表!$A:$A,MATCH(F83,[1]妻子表!$B:$B,0))</f>
        <v>M000058W01</v>
      </c>
      <c r="I83" t="str">
        <f>VLOOKUP(H83,[1]妻子表!$A:$D,4,0)</f>
        <v>刘氏</v>
      </c>
      <c r="J83" t="s">
        <v>359</v>
      </c>
      <c r="K83" t="s">
        <v>492</v>
      </c>
      <c r="T83" s="2" t="s">
        <v>720</v>
      </c>
      <c r="U83" t="s">
        <v>174</v>
      </c>
      <c r="AA83" t="s">
        <v>721</v>
      </c>
    </row>
    <row r="84" spans="1:27" x14ac:dyDescent="0.25">
      <c r="A84" t="s">
        <v>722</v>
      </c>
      <c r="B84" t="s">
        <v>723</v>
      </c>
      <c r="C84" t="s">
        <v>29</v>
      </c>
      <c r="D84" t="s">
        <v>614</v>
      </c>
      <c r="E84" t="s">
        <v>358</v>
      </c>
      <c r="F84" t="s">
        <v>567</v>
      </c>
      <c r="G84" t="s">
        <v>568</v>
      </c>
      <c r="H84" t="str">
        <f>INDEX([1]妻子表!$A:$A,MATCH(F84,[1]妻子表!$B:$B,0))</f>
        <v>M000058W01</v>
      </c>
      <c r="I84" t="str">
        <f>VLOOKUP(H84,[1]妻子表!$A:$D,4,0)</f>
        <v>刘氏</v>
      </c>
      <c r="J84" t="s">
        <v>359</v>
      </c>
      <c r="K84" t="s">
        <v>724</v>
      </c>
      <c r="L84" t="s">
        <v>725</v>
      </c>
      <c r="M84" t="s">
        <v>726</v>
      </c>
      <c r="N84" t="s">
        <v>727</v>
      </c>
      <c r="O84" t="s">
        <v>728</v>
      </c>
      <c r="P84" t="s">
        <v>458</v>
      </c>
      <c r="Q84" t="s">
        <v>729</v>
      </c>
      <c r="R84" t="s">
        <v>730</v>
      </c>
      <c r="S84" t="s">
        <v>731</v>
      </c>
      <c r="T84" s="2" t="s">
        <v>732</v>
      </c>
      <c r="U84" t="s">
        <v>610</v>
      </c>
      <c r="AA84" t="s">
        <v>733</v>
      </c>
    </row>
    <row r="85" spans="1:27" x14ac:dyDescent="0.25">
      <c r="A85" t="s">
        <v>734</v>
      </c>
      <c r="B85" t="s">
        <v>735</v>
      </c>
      <c r="C85" t="s">
        <v>29</v>
      </c>
      <c r="D85" t="s">
        <v>614</v>
      </c>
      <c r="E85" t="s">
        <v>358</v>
      </c>
      <c r="F85" t="s">
        <v>567</v>
      </c>
      <c r="G85" t="s">
        <v>568</v>
      </c>
      <c r="H85" t="str">
        <f>INDEX([1]妻子表!$A:$A,MATCH(F85,[1]妻子表!$B:$B,0))</f>
        <v>M000058W01</v>
      </c>
      <c r="I85" t="str">
        <f>VLOOKUP(H85,[1]妻子表!$A:$D,4,0)</f>
        <v>刘氏</v>
      </c>
      <c r="J85" t="s">
        <v>359</v>
      </c>
      <c r="K85" t="s">
        <v>736</v>
      </c>
      <c r="L85" t="s">
        <v>737</v>
      </c>
      <c r="M85" t="s">
        <v>738</v>
      </c>
      <c r="N85" t="s">
        <v>739</v>
      </c>
      <c r="O85" t="s">
        <v>740</v>
      </c>
      <c r="P85" t="s">
        <v>200</v>
      </c>
      <c r="Q85" t="s">
        <v>741</v>
      </c>
      <c r="R85" t="s">
        <v>619</v>
      </c>
      <c r="S85" t="s">
        <v>742</v>
      </c>
      <c r="T85" s="2" t="s">
        <v>743</v>
      </c>
      <c r="U85" t="s">
        <v>744</v>
      </c>
      <c r="AA85" t="s">
        <v>745</v>
      </c>
    </row>
    <row r="86" spans="1:27" x14ac:dyDescent="0.25">
      <c r="A86" t="s">
        <v>746</v>
      </c>
      <c r="B86" t="s">
        <v>747</v>
      </c>
      <c r="C86" t="s">
        <v>29</v>
      </c>
      <c r="D86" t="s">
        <v>614</v>
      </c>
      <c r="E86" t="s">
        <v>358</v>
      </c>
      <c r="F86" t="s">
        <v>579</v>
      </c>
      <c r="G86" t="s">
        <v>580</v>
      </c>
      <c r="H86" t="str">
        <f>INDEX([1]妻子表!$A:$A,MATCH(F86,[1]妻子表!$B:$B,0))</f>
        <v>M000059W01</v>
      </c>
      <c r="I86" t="str">
        <f>VLOOKUP(H86,[1]妻子表!$A:$D,4,0)</f>
        <v>萧氏</v>
      </c>
      <c r="J86" t="s">
        <v>359</v>
      </c>
      <c r="K86" t="s">
        <v>673</v>
      </c>
      <c r="L86" t="s">
        <v>417</v>
      </c>
      <c r="M86" t="s">
        <v>748</v>
      </c>
      <c r="N86" t="s">
        <v>675</v>
      </c>
      <c r="O86" t="s">
        <v>749</v>
      </c>
      <c r="P86" t="s">
        <v>257</v>
      </c>
      <c r="Q86" t="s">
        <v>750</v>
      </c>
      <c r="R86" t="s">
        <v>751</v>
      </c>
      <c r="S86" t="s">
        <v>752</v>
      </c>
      <c r="T86" s="2" t="s">
        <v>753</v>
      </c>
      <c r="U86" t="s">
        <v>174</v>
      </c>
      <c r="AA86" t="s">
        <v>754</v>
      </c>
    </row>
    <row r="87" spans="1:27" x14ac:dyDescent="0.25">
      <c r="A87" t="s">
        <v>755</v>
      </c>
      <c r="B87" t="s">
        <v>756</v>
      </c>
      <c r="C87" t="s">
        <v>29</v>
      </c>
      <c r="D87" t="s">
        <v>614</v>
      </c>
      <c r="E87" t="s">
        <v>358</v>
      </c>
      <c r="F87" t="s">
        <v>579</v>
      </c>
      <c r="G87" t="s">
        <v>580</v>
      </c>
      <c r="H87" t="str">
        <f>INDEX([1]妻子表!$A:$A,MATCH(F87,[1]妻子表!$B:$B,0))</f>
        <v>M000059W01</v>
      </c>
      <c r="I87" t="str">
        <f>VLOOKUP(H87,[1]妻子表!$A:$D,4,0)</f>
        <v>萧氏</v>
      </c>
      <c r="J87" t="s">
        <v>359</v>
      </c>
      <c r="T87" s="2" t="s">
        <v>757</v>
      </c>
      <c r="U87" t="s">
        <v>174</v>
      </c>
      <c r="AA87" t="s">
        <v>758</v>
      </c>
    </row>
    <row r="88" spans="1:27" x14ac:dyDescent="0.25">
      <c r="A88" t="s">
        <v>759</v>
      </c>
      <c r="B88" t="s">
        <v>760</v>
      </c>
      <c r="C88" t="s">
        <v>29</v>
      </c>
      <c r="D88" t="s">
        <v>761</v>
      </c>
      <c r="E88" t="s">
        <v>358</v>
      </c>
      <c r="F88" t="s">
        <v>612</v>
      </c>
      <c r="G88" t="s">
        <v>613</v>
      </c>
      <c r="H88" t="str">
        <f>INDEX([1]妻子表!$A:$A,MATCH(F88,[1]妻子表!$B:$B,0))</f>
        <v>M000063W01</v>
      </c>
      <c r="I88" t="str">
        <f>VLOOKUP(H88,[1]妻子表!$A:$D,4,0)</f>
        <v>刘氏</v>
      </c>
      <c r="J88" t="s">
        <v>359</v>
      </c>
      <c r="AA88" t="s">
        <v>762</v>
      </c>
    </row>
    <row r="89" spans="1:27" x14ac:dyDescent="0.25">
      <c r="A89" t="s">
        <v>763</v>
      </c>
      <c r="B89" t="s">
        <v>764</v>
      </c>
      <c r="C89" t="s">
        <v>29</v>
      </c>
      <c r="D89" t="s">
        <v>761</v>
      </c>
      <c r="E89" t="s">
        <v>358</v>
      </c>
      <c r="F89" t="s">
        <v>612</v>
      </c>
      <c r="G89" t="s">
        <v>613</v>
      </c>
      <c r="H89" t="str">
        <f>INDEX([1]妻子表!$A:$A,MATCH(F89,[1]妻子表!$B:$B,0))</f>
        <v>M000063W01</v>
      </c>
      <c r="I89" t="str">
        <f>VLOOKUP(H89,[1]妻子表!$A:$D,4,0)</f>
        <v>刘氏</v>
      </c>
      <c r="J89" t="s">
        <v>359</v>
      </c>
      <c r="K89" t="s">
        <v>765</v>
      </c>
      <c r="L89" t="s">
        <v>311</v>
      </c>
      <c r="M89" t="s">
        <v>766</v>
      </c>
      <c r="N89" t="s">
        <v>767</v>
      </c>
      <c r="O89" t="s">
        <v>768</v>
      </c>
      <c r="P89" t="s">
        <v>224</v>
      </c>
      <c r="Q89" t="s">
        <v>769</v>
      </c>
      <c r="R89" t="s">
        <v>770</v>
      </c>
      <c r="S89" t="s">
        <v>771</v>
      </c>
      <c r="T89" s="2" t="s">
        <v>772</v>
      </c>
      <c r="U89" t="s">
        <v>174</v>
      </c>
      <c r="AA89" t="s">
        <v>773</v>
      </c>
    </row>
    <row r="90" spans="1:27" x14ac:dyDescent="0.25">
      <c r="A90" t="s">
        <v>774</v>
      </c>
      <c r="B90" t="s">
        <v>775</v>
      </c>
      <c r="C90" t="s">
        <v>29</v>
      </c>
      <c r="D90" t="s">
        <v>761</v>
      </c>
      <c r="E90" t="s">
        <v>358</v>
      </c>
      <c r="F90" t="s">
        <v>612</v>
      </c>
      <c r="G90" t="s">
        <v>613</v>
      </c>
      <c r="H90" t="str">
        <f>INDEX([1]妻子表!$A:$A,MATCH(F90,[1]妻子表!$B:$B,0))</f>
        <v>M000063W01</v>
      </c>
      <c r="I90" t="str">
        <f>VLOOKUP(H90,[1]妻子表!$A:$D,4,0)</f>
        <v>刘氏</v>
      </c>
      <c r="J90" t="s">
        <v>359</v>
      </c>
      <c r="T90" s="2" t="s">
        <v>776</v>
      </c>
      <c r="U90" t="s">
        <v>777</v>
      </c>
      <c r="AA90" t="s">
        <v>778</v>
      </c>
    </row>
    <row r="91" spans="1:27" x14ac:dyDescent="0.25">
      <c r="A91" t="s">
        <v>779</v>
      </c>
      <c r="B91" t="s">
        <v>780</v>
      </c>
      <c r="C91" t="s">
        <v>29</v>
      </c>
      <c r="D91" t="s">
        <v>761</v>
      </c>
      <c r="E91" t="s">
        <v>358</v>
      </c>
      <c r="F91" t="s">
        <v>612</v>
      </c>
      <c r="G91" t="s">
        <v>613</v>
      </c>
      <c r="H91" t="str">
        <f>INDEX([1]妻子表!$A:$A,MATCH(F91,[1]妻子表!$B:$B,0))</f>
        <v>M000063W01</v>
      </c>
      <c r="I91" t="str">
        <f>VLOOKUP(H91,[1]妻子表!$A:$D,4,0)</f>
        <v>刘氏</v>
      </c>
      <c r="J91" t="s">
        <v>359</v>
      </c>
      <c r="T91" s="2" t="s">
        <v>781</v>
      </c>
      <c r="U91" t="s">
        <v>174</v>
      </c>
      <c r="AA91" t="s">
        <v>782</v>
      </c>
    </row>
    <row r="92" spans="1:27" x14ac:dyDescent="0.25">
      <c r="A92" t="s">
        <v>783</v>
      </c>
      <c r="B92" t="s">
        <v>784</v>
      </c>
      <c r="C92" t="s">
        <v>29</v>
      </c>
      <c r="D92" t="s">
        <v>761</v>
      </c>
      <c r="E92" t="s">
        <v>358</v>
      </c>
      <c r="F92" t="s">
        <v>624</v>
      </c>
      <c r="G92" t="s">
        <v>625</v>
      </c>
      <c r="H92" t="str">
        <f>INDEX([1]妻子表!$A:$A,MATCH(F92,[1]妻子表!$B:$B,0))</f>
        <v>M000064W01</v>
      </c>
      <c r="I92" t="str">
        <f>VLOOKUP(H92,[1]妻子表!$A:$D,4,0)</f>
        <v>王氏</v>
      </c>
      <c r="J92" t="s">
        <v>359</v>
      </c>
      <c r="K92" t="s">
        <v>785</v>
      </c>
      <c r="L92" t="s">
        <v>542</v>
      </c>
      <c r="M92" t="s">
        <v>786</v>
      </c>
      <c r="N92" t="s">
        <v>787</v>
      </c>
      <c r="O92" t="s">
        <v>788</v>
      </c>
      <c r="P92" t="s">
        <v>458</v>
      </c>
      <c r="Q92" t="s">
        <v>789</v>
      </c>
      <c r="R92" t="s">
        <v>790</v>
      </c>
      <c r="S92" t="s">
        <v>791</v>
      </c>
      <c r="T92" s="2" t="s">
        <v>792</v>
      </c>
      <c r="U92" t="s">
        <v>245</v>
      </c>
      <c r="AA92" t="s">
        <v>793</v>
      </c>
    </row>
    <row r="93" spans="1:27" x14ac:dyDescent="0.25">
      <c r="A93" t="s">
        <v>794</v>
      </c>
      <c r="B93" t="s">
        <v>795</v>
      </c>
      <c r="C93" t="s">
        <v>29</v>
      </c>
      <c r="D93" t="s">
        <v>761</v>
      </c>
      <c r="E93" t="s">
        <v>358</v>
      </c>
      <c r="F93" t="s">
        <v>624</v>
      </c>
      <c r="G93" t="s">
        <v>625</v>
      </c>
      <c r="H93" t="str">
        <f>INDEX([1]妻子表!$A:$A,MATCH(F93,[1]妻子表!$B:$B,0))</f>
        <v>M000064W01</v>
      </c>
      <c r="I93" t="str">
        <f>VLOOKUP(H93,[1]妻子表!$A:$D,4,0)</f>
        <v>王氏</v>
      </c>
      <c r="J93" t="s">
        <v>359</v>
      </c>
      <c r="AA93" t="s">
        <v>489</v>
      </c>
    </row>
    <row r="94" spans="1:27" x14ac:dyDescent="0.25">
      <c r="A94" t="s">
        <v>796</v>
      </c>
      <c r="B94" t="s">
        <v>797</v>
      </c>
      <c r="C94" t="s">
        <v>29</v>
      </c>
      <c r="D94" t="s">
        <v>761</v>
      </c>
      <c r="E94" t="s">
        <v>358</v>
      </c>
      <c r="F94" t="s">
        <v>636</v>
      </c>
      <c r="G94" t="s">
        <v>637</v>
      </c>
      <c r="H94" t="str">
        <f>INDEX([1]妻子表!$A:$A,MATCH(F94,[1]妻子表!$B:$B,0))</f>
        <v>M000065W01</v>
      </c>
      <c r="I94" t="str">
        <f>VLOOKUP(H94,[1]妻子表!$A:$D,4,0)</f>
        <v>刘氏</v>
      </c>
      <c r="J94" t="s">
        <v>359</v>
      </c>
      <c r="K94" t="s">
        <v>638</v>
      </c>
      <c r="L94" t="s">
        <v>236</v>
      </c>
      <c r="M94" t="s">
        <v>798</v>
      </c>
      <c r="N94" t="s">
        <v>799</v>
      </c>
      <c r="O94" t="s">
        <v>800</v>
      </c>
      <c r="P94" t="s">
        <v>257</v>
      </c>
      <c r="Q94" t="s">
        <v>801</v>
      </c>
      <c r="R94" t="s">
        <v>802</v>
      </c>
      <c r="S94" t="s">
        <v>803</v>
      </c>
      <c r="T94" s="2" t="s">
        <v>804</v>
      </c>
      <c r="U94" t="s">
        <v>174</v>
      </c>
      <c r="AA94" t="s">
        <v>805</v>
      </c>
    </row>
    <row r="95" spans="1:27" x14ac:dyDescent="0.25">
      <c r="A95" t="s">
        <v>806</v>
      </c>
      <c r="B95" t="s">
        <v>807</v>
      </c>
      <c r="C95" t="s">
        <v>29</v>
      </c>
      <c r="D95" t="s">
        <v>761</v>
      </c>
      <c r="E95" t="s">
        <v>358</v>
      </c>
      <c r="F95" t="s">
        <v>636</v>
      </c>
      <c r="G95" t="s">
        <v>637</v>
      </c>
      <c r="H95" t="str">
        <f>INDEX([1]妻子表!$A:$A,MATCH(F95,[1]妻子表!$B:$B,0))</f>
        <v>M000065W01</v>
      </c>
      <c r="I95" t="str">
        <f>VLOOKUP(H95,[1]妻子表!$A:$D,4,0)</f>
        <v>刘氏</v>
      </c>
      <c r="J95" t="s">
        <v>359</v>
      </c>
      <c r="AA95" t="s">
        <v>808</v>
      </c>
    </row>
    <row r="96" spans="1:27" x14ac:dyDescent="0.25">
      <c r="A96" t="s">
        <v>809</v>
      </c>
      <c r="B96" t="s">
        <v>810</v>
      </c>
      <c r="C96" t="s">
        <v>29</v>
      </c>
      <c r="D96" t="s">
        <v>761</v>
      </c>
      <c r="E96" t="s">
        <v>358</v>
      </c>
      <c r="F96" t="s">
        <v>636</v>
      </c>
      <c r="G96" t="s">
        <v>637</v>
      </c>
      <c r="H96" t="str">
        <f>INDEX([1]妻子表!$A:$A,MATCH(F96,[1]妻子表!$B:$B,0))</f>
        <v>M000065W01</v>
      </c>
      <c r="I96" t="str">
        <f>VLOOKUP(H96,[1]妻子表!$A:$D,4,0)</f>
        <v>刘氏</v>
      </c>
      <c r="J96" t="s">
        <v>359</v>
      </c>
      <c r="K96" t="s">
        <v>811</v>
      </c>
      <c r="L96" t="s">
        <v>236</v>
      </c>
      <c r="M96" t="s">
        <v>812</v>
      </c>
      <c r="N96" t="s">
        <v>799</v>
      </c>
      <c r="O96" t="s">
        <v>813</v>
      </c>
      <c r="P96" t="s">
        <v>257</v>
      </c>
      <c r="Q96" t="s">
        <v>814</v>
      </c>
      <c r="R96" t="s">
        <v>802</v>
      </c>
      <c r="S96" t="s">
        <v>815</v>
      </c>
      <c r="T96" s="2" t="s">
        <v>816</v>
      </c>
      <c r="U96" t="s">
        <v>174</v>
      </c>
      <c r="AA96" t="s">
        <v>817</v>
      </c>
    </row>
    <row r="97" spans="1:27" x14ac:dyDescent="0.25">
      <c r="A97" t="s">
        <v>818</v>
      </c>
      <c r="B97" t="s">
        <v>819</v>
      </c>
      <c r="C97" t="s">
        <v>29</v>
      </c>
      <c r="D97" t="s">
        <v>761</v>
      </c>
      <c r="E97" t="s">
        <v>358</v>
      </c>
      <c r="F97" t="s">
        <v>636</v>
      </c>
      <c r="G97" t="s">
        <v>637</v>
      </c>
      <c r="H97" t="str">
        <f>INDEX([1]妻子表!$A:$A,MATCH(F97,[1]妻子表!$B:$B,0))</f>
        <v>M000065W01</v>
      </c>
      <c r="I97" t="str">
        <f>VLOOKUP(H97,[1]妻子表!$A:$D,4,0)</f>
        <v>刘氏</v>
      </c>
      <c r="J97" t="s">
        <v>359</v>
      </c>
      <c r="T97" s="2" t="s">
        <v>820</v>
      </c>
      <c r="U97" t="s">
        <v>174</v>
      </c>
      <c r="AA97" t="s">
        <v>821</v>
      </c>
    </row>
    <row r="98" spans="1:27" x14ac:dyDescent="0.25">
      <c r="A98" t="s">
        <v>822</v>
      </c>
      <c r="B98" t="s">
        <v>823</v>
      </c>
      <c r="C98" t="s">
        <v>29</v>
      </c>
      <c r="D98" t="s">
        <v>761</v>
      </c>
      <c r="E98" t="s">
        <v>358</v>
      </c>
      <c r="F98" t="s">
        <v>641</v>
      </c>
      <c r="G98" t="s">
        <v>642</v>
      </c>
      <c r="H98" t="str">
        <f>INDEX([1]妻子表!$A:$A,MATCH(F98,[1]妻子表!$B:$B,0))</f>
        <v>M000066W01</v>
      </c>
      <c r="I98" t="str">
        <f>VLOOKUP(H98,[1]妻子表!$A:$D,4,0)</f>
        <v>高氏</v>
      </c>
      <c r="J98" t="s">
        <v>359</v>
      </c>
      <c r="K98" t="s">
        <v>824</v>
      </c>
      <c r="L98" t="s">
        <v>825</v>
      </c>
      <c r="M98" t="s">
        <v>826</v>
      </c>
      <c r="N98" t="s">
        <v>827</v>
      </c>
      <c r="O98" t="s">
        <v>828</v>
      </c>
      <c r="P98" t="s">
        <v>200</v>
      </c>
      <c r="Q98" t="s">
        <v>829</v>
      </c>
      <c r="R98" t="s">
        <v>830</v>
      </c>
      <c r="S98" t="s">
        <v>831</v>
      </c>
      <c r="T98" s="2" t="s">
        <v>832</v>
      </c>
      <c r="U98" t="s">
        <v>833</v>
      </c>
      <c r="AA98" t="s">
        <v>834</v>
      </c>
    </row>
    <row r="99" spans="1:27" x14ac:dyDescent="0.25">
      <c r="A99" t="s">
        <v>835</v>
      </c>
      <c r="B99" t="s">
        <v>836</v>
      </c>
      <c r="C99" t="s">
        <v>29</v>
      </c>
      <c r="D99" t="s">
        <v>761</v>
      </c>
      <c r="E99" t="s">
        <v>358</v>
      </c>
      <c r="F99" t="s">
        <v>641</v>
      </c>
      <c r="G99" t="s">
        <v>642</v>
      </c>
      <c r="H99" t="str">
        <f>INDEX([1]妻子表!$A:$A,MATCH(F99,[1]妻子表!$B:$B,0))</f>
        <v>M000066W01</v>
      </c>
      <c r="I99" t="str">
        <f>VLOOKUP(H99,[1]妻子表!$A:$D,4,0)</f>
        <v>高氏</v>
      </c>
      <c r="J99" t="s">
        <v>359</v>
      </c>
      <c r="T99" s="2" t="s">
        <v>837</v>
      </c>
      <c r="U99" t="s">
        <v>480</v>
      </c>
      <c r="AA99" t="s">
        <v>838</v>
      </c>
    </row>
    <row r="100" spans="1:27" x14ac:dyDescent="0.25">
      <c r="A100" t="s">
        <v>839</v>
      </c>
      <c r="B100" t="s">
        <v>840</v>
      </c>
      <c r="C100" t="s">
        <v>29</v>
      </c>
      <c r="D100" t="s">
        <v>761</v>
      </c>
      <c r="E100" t="s">
        <v>358</v>
      </c>
      <c r="F100" t="s">
        <v>641</v>
      </c>
      <c r="G100" t="s">
        <v>642</v>
      </c>
      <c r="H100" t="str">
        <f>INDEX([1]妻子表!$A:$A,MATCH(F100,[1]妻子表!$B:$B,0))</f>
        <v>M000066W01</v>
      </c>
      <c r="I100" t="str">
        <f>VLOOKUP(H100,[1]妻子表!$A:$D,4,0)</f>
        <v>高氏</v>
      </c>
      <c r="J100" t="s">
        <v>359</v>
      </c>
      <c r="T100" s="2" t="s">
        <v>841</v>
      </c>
      <c r="U100" t="s">
        <v>480</v>
      </c>
      <c r="AA100" t="s">
        <v>842</v>
      </c>
    </row>
    <row r="101" spans="1:27" x14ac:dyDescent="0.25">
      <c r="A101" t="s">
        <v>843</v>
      </c>
      <c r="B101" t="s">
        <v>844</v>
      </c>
      <c r="C101" t="s">
        <v>29</v>
      </c>
      <c r="D101" t="s">
        <v>761</v>
      </c>
      <c r="E101" t="s">
        <v>358</v>
      </c>
      <c r="F101" t="s">
        <v>641</v>
      </c>
      <c r="G101" t="s">
        <v>642</v>
      </c>
      <c r="H101" t="str">
        <f>INDEX([1]妻子表!$A:$A,MATCH(F101,[1]妻子表!$B:$B,0))</f>
        <v>M000066W01</v>
      </c>
      <c r="I101" t="str">
        <f>VLOOKUP(H101,[1]妻子表!$A:$D,4,0)</f>
        <v>高氏</v>
      </c>
      <c r="J101" t="s">
        <v>359</v>
      </c>
      <c r="K101" t="s">
        <v>638</v>
      </c>
      <c r="T101" s="2" t="s">
        <v>845</v>
      </c>
      <c r="U101" t="s">
        <v>245</v>
      </c>
      <c r="AA101" t="s">
        <v>846</v>
      </c>
    </row>
    <row r="102" spans="1:27" x14ac:dyDescent="0.25">
      <c r="A102" t="s">
        <v>847</v>
      </c>
      <c r="B102" t="s">
        <v>848</v>
      </c>
      <c r="C102" t="s">
        <v>29</v>
      </c>
      <c r="D102" t="s">
        <v>761</v>
      </c>
      <c r="E102" t="s">
        <v>358</v>
      </c>
      <c r="F102" t="s">
        <v>651</v>
      </c>
      <c r="G102" t="s">
        <v>652</v>
      </c>
      <c r="H102" t="str">
        <f>INDEX([1]妻子表!$A:$A,MATCH(F102,[1]妻子表!$B:$B,0))</f>
        <v>M000067W01</v>
      </c>
      <c r="I102" t="str">
        <f>VLOOKUP(H102,[1]妻子表!$A:$D,4,0)</f>
        <v>王氏</v>
      </c>
      <c r="J102" t="s">
        <v>359</v>
      </c>
      <c r="AA102" t="s">
        <v>849</v>
      </c>
    </row>
    <row r="103" spans="1:27" x14ac:dyDescent="0.25">
      <c r="A103" t="s">
        <v>850</v>
      </c>
      <c r="B103" t="s">
        <v>851</v>
      </c>
      <c r="C103" t="s">
        <v>29</v>
      </c>
      <c r="D103" t="s">
        <v>761</v>
      </c>
      <c r="E103" t="s">
        <v>358</v>
      </c>
      <c r="F103" t="s">
        <v>651</v>
      </c>
      <c r="G103" t="s">
        <v>652</v>
      </c>
      <c r="H103" t="str">
        <f>INDEX([1]妻子表!$A:$A,MATCH(F103,[1]妻子表!$B:$B,0))</f>
        <v>M000067W01</v>
      </c>
      <c r="I103" t="str">
        <f>VLOOKUP(H103,[1]妻子表!$A:$D,4,0)</f>
        <v>王氏</v>
      </c>
      <c r="J103" t="s">
        <v>359</v>
      </c>
      <c r="AA103" t="s">
        <v>852</v>
      </c>
    </row>
    <row r="104" spans="1:27" x14ac:dyDescent="0.25">
      <c r="A104" t="s">
        <v>853</v>
      </c>
      <c r="B104" t="s">
        <v>854</v>
      </c>
      <c r="C104" t="s">
        <v>29</v>
      </c>
      <c r="D104" t="s">
        <v>761</v>
      </c>
      <c r="E104" t="s">
        <v>358</v>
      </c>
      <c r="F104" t="s">
        <v>651</v>
      </c>
      <c r="G104" t="s">
        <v>652</v>
      </c>
      <c r="H104" t="str">
        <f>INDEX([1]妻子表!$A:$A,MATCH(F104,[1]妻子表!$B:$B,0))</f>
        <v>M000067W01</v>
      </c>
      <c r="I104" t="str">
        <f>VLOOKUP(H104,[1]妻子表!$A:$D,4,0)</f>
        <v>王氏</v>
      </c>
      <c r="J104" t="s">
        <v>359</v>
      </c>
      <c r="AA104" t="s">
        <v>855</v>
      </c>
    </row>
    <row r="105" spans="1:27" x14ac:dyDescent="0.25">
      <c r="A105" t="s">
        <v>856</v>
      </c>
      <c r="B105" t="s">
        <v>857</v>
      </c>
      <c r="C105" t="s">
        <v>29</v>
      </c>
      <c r="D105" t="s">
        <v>761</v>
      </c>
      <c r="E105" t="s">
        <v>358</v>
      </c>
      <c r="F105" t="s">
        <v>651</v>
      </c>
      <c r="G105" t="s">
        <v>652</v>
      </c>
      <c r="H105" t="str">
        <f>INDEX([1]妻子表!$A:$A,MATCH(F105,[1]妻子表!$B:$B,0))</f>
        <v>M000067W01</v>
      </c>
      <c r="I105" t="str">
        <f>VLOOKUP(H105,[1]妻子表!$A:$D,4,0)</f>
        <v>王氏</v>
      </c>
      <c r="J105" t="s">
        <v>359</v>
      </c>
      <c r="AA105" t="s">
        <v>489</v>
      </c>
    </row>
    <row r="106" spans="1:27" x14ac:dyDescent="0.25">
      <c r="A106" t="s">
        <v>858</v>
      </c>
      <c r="B106" t="s">
        <v>859</v>
      </c>
      <c r="C106" t="s">
        <v>29</v>
      </c>
      <c r="D106" t="s">
        <v>761</v>
      </c>
      <c r="E106" t="s">
        <v>358</v>
      </c>
      <c r="F106" t="s">
        <v>658</v>
      </c>
      <c r="G106" t="s">
        <v>659</v>
      </c>
      <c r="H106" t="str">
        <f>INDEX([1]妻子表!$A:$A,MATCH(F106,[1]妻子表!$B:$B,0))</f>
        <v>M000069W01</v>
      </c>
      <c r="I106" t="str">
        <f>VLOOKUP(H106,[1]妻子表!$A:$D,4,0)</f>
        <v>郭氏</v>
      </c>
      <c r="J106" t="s">
        <v>359</v>
      </c>
      <c r="K106" t="s">
        <v>673</v>
      </c>
      <c r="L106" t="s">
        <v>860</v>
      </c>
      <c r="M106" t="s">
        <v>861</v>
      </c>
      <c r="N106" t="s">
        <v>727</v>
      </c>
      <c r="O106" t="s">
        <v>862</v>
      </c>
      <c r="P106" t="s">
        <v>458</v>
      </c>
      <c r="Q106" t="s">
        <v>863</v>
      </c>
      <c r="R106" t="s">
        <v>603</v>
      </c>
      <c r="S106" t="s">
        <v>864</v>
      </c>
      <c r="T106" s="2" t="s">
        <v>865</v>
      </c>
      <c r="U106" t="s">
        <v>174</v>
      </c>
      <c r="AA106" t="s">
        <v>866</v>
      </c>
    </row>
    <row r="107" spans="1:27" x14ac:dyDescent="0.25">
      <c r="A107" t="s">
        <v>867</v>
      </c>
      <c r="B107" t="s">
        <v>868</v>
      </c>
      <c r="C107" t="s">
        <v>29</v>
      </c>
      <c r="D107" t="s">
        <v>761</v>
      </c>
      <c r="E107" t="s">
        <v>358</v>
      </c>
      <c r="F107" t="s">
        <v>658</v>
      </c>
      <c r="G107" t="s">
        <v>659</v>
      </c>
      <c r="H107" t="str">
        <f>INDEX([1]妻子表!$A:$A,MATCH(F107,[1]妻子表!$B:$B,0))</f>
        <v>M000069W01</v>
      </c>
      <c r="I107" t="str">
        <f>VLOOKUP(H107,[1]妻子表!$A:$D,4,0)</f>
        <v>郭氏</v>
      </c>
      <c r="J107" t="s">
        <v>359</v>
      </c>
      <c r="K107" t="s">
        <v>869</v>
      </c>
      <c r="L107" t="s">
        <v>870</v>
      </c>
      <c r="M107" t="s">
        <v>871</v>
      </c>
      <c r="N107" t="s">
        <v>872</v>
      </c>
      <c r="O107" t="s">
        <v>873</v>
      </c>
      <c r="P107" t="s">
        <v>407</v>
      </c>
      <c r="Q107" t="s">
        <v>874</v>
      </c>
      <c r="R107" t="s">
        <v>875</v>
      </c>
      <c r="S107" t="s">
        <v>876</v>
      </c>
      <c r="T107" s="2" t="s">
        <v>877</v>
      </c>
      <c r="U107" t="s">
        <v>174</v>
      </c>
      <c r="AA107" t="s">
        <v>878</v>
      </c>
    </row>
    <row r="108" spans="1:27" x14ac:dyDescent="0.25">
      <c r="A108" t="s">
        <v>879</v>
      </c>
      <c r="B108" t="s">
        <v>880</v>
      </c>
      <c r="C108" t="s">
        <v>29</v>
      </c>
      <c r="D108" t="s">
        <v>761</v>
      </c>
      <c r="E108" t="s">
        <v>358</v>
      </c>
      <c r="F108" t="s">
        <v>658</v>
      </c>
      <c r="G108" t="s">
        <v>659</v>
      </c>
      <c r="H108" t="str">
        <f>INDEX([1]妻子表!$A:$A,MATCH(F108,[1]妻子表!$B:$B,0))</f>
        <v>M000069W01</v>
      </c>
      <c r="I108" t="str">
        <f>VLOOKUP(H108,[1]妻子表!$A:$D,4,0)</f>
        <v>郭氏</v>
      </c>
      <c r="J108" t="s">
        <v>359</v>
      </c>
      <c r="T108" s="2" t="s">
        <v>881</v>
      </c>
      <c r="U108" t="s">
        <v>882</v>
      </c>
      <c r="AA108" t="s">
        <v>883</v>
      </c>
    </row>
    <row r="109" spans="1:27" x14ac:dyDescent="0.25">
      <c r="A109" t="s">
        <v>884</v>
      </c>
      <c r="B109" t="s">
        <v>885</v>
      </c>
      <c r="C109" t="s">
        <v>29</v>
      </c>
      <c r="D109" t="s">
        <v>761</v>
      </c>
      <c r="E109" t="s">
        <v>358</v>
      </c>
      <c r="F109" t="s">
        <v>662</v>
      </c>
      <c r="G109" t="s">
        <v>663</v>
      </c>
      <c r="H109" t="str">
        <f>INDEX([1]妻子表!$A:$A,MATCH(F109,[1]妻子表!$B:$B,0))</f>
        <v>M000070W01</v>
      </c>
      <c r="I109" t="str">
        <f>VLOOKUP(H109,[1]妻子表!$A:$D,4,0)</f>
        <v>孟氏</v>
      </c>
      <c r="J109" t="s">
        <v>359</v>
      </c>
      <c r="K109" t="s">
        <v>824</v>
      </c>
      <c r="L109" t="s">
        <v>886</v>
      </c>
      <c r="M109" t="s">
        <v>887</v>
      </c>
      <c r="N109" t="s">
        <v>888</v>
      </c>
      <c r="O109" t="s">
        <v>889</v>
      </c>
      <c r="P109" t="s">
        <v>601</v>
      </c>
      <c r="Q109" t="s">
        <v>890</v>
      </c>
      <c r="R109" t="s">
        <v>891</v>
      </c>
      <c r="S109" t="s">
        <v>892</v>
      </c>
      <c r="T109" s="2" t="s">
        <v>893</v>
      </c>
      <c r="U109" t="s">
        <v>174</v>
      </c>
      <c r="AA109" t="s">
        <v>894</v>
      </c>
    </row>
    <row r="110" spans="1:27" x14ac:dyDescent="0.25">
      <c r="A110" t="s">
        <v>895</v>
      </c>
      <c r="B110" t="s">
        <v>896</v>
      </c>
      <c r="C110" t="s">
        <v>29</v>
      </c>
      <c r="D110" t="s">
        <v>761</v>
      </c>
      <c r="E110" t="s">
        <v>358</v>
      </c>
      <c r="F110" t="s">
        <v>671</v>
      </c>
      <c r="G110" t="s">
        <v>672</v>
      </c>
      <c r="H110" t="str">
        <f>INDEX([1]妻子表!$A:$A,MATCH(F110,[1]妻子表!$B:$B,0))</f>
        <v>M000071W01</v>
      </c>
      <c r="I110" t="str">
        <f>VLOOKUP(H110,[1]妻子表!$A:$D,4,0)</f>
        <v>彭氏</v>
      </c>
      <c r="J110" t="s">
        <v>359</v>
      </c>
      <c r="L110" t="s">
        <v>441</v>
      </c>
      <c r="M110" t="s">
        <v>897</v>
      </c>
      <c r="N110" t="s">
        <v>898</v>
      </c>
      <c r="O110" t="s">
        <v>899</v>
      </c>
      <c r="P110" t="s">
        <v>257</v>
      </c>
      <c r="Q110" t="s">
        <v>900</v>
      </c>
      <c r="R110" t="s">
        <v>901</v>
      </c>
      <c r="S110" t="s">
        <v>902</v>
      </c>
      <c r="T110" s="2" t="s">
        <v>903</v>
      </c>
      <c r="U110" t="s">
        <v>882</v>
      </c>
      <c r="AA110" t="s">
        <v>904</v>
      </c>
    </row>
    <row r="111" spans="1:27" x14ac:dyDescent="0.25">
      <c r="A111" t="s">
        <v>905</v>
      </c>
      <c r="B111" t="s">
        <v>906</v>
      </c>
      <c r="C111" t="s">
        <v>29</v>
      </c>
      <c r="D111" t="s">
        <v>761</v>
      </c>
      <c r="E111" t="s">
        <v>358</v>
      </c>
      <c r="F111" t="s">
        <v>671</v>
      </c>
      <c r="G111" t="s">
        <v>672</v>
      </c>
      <c r="H111" t="str">
        <f>INDEX([1]妻子表!$A:$A,MATCH(F111,[1]妻子表!$B:$B,0))</f>
        <v>M000071W01</v>
      </c>
      <c r="I111" t="str">
        <f>VLOOKUP(H111,[1]妻子表!$A:$D,4,0)</f>
        <v>彭氏</v>
      </c>
      <c r="J111" t="s">
        <v>359</v>
      </c>
      <c r="K111" t="s">
        <v>907</v>
      </c>
      <c r="L111" t="s">
        <v>553</v>
      </c>
      <c r="M111" t="s">
        <v>908</v>
      </c>
      <c r="N111" t="s">
        <v>909</v>
      </c>
      <c r="O111" t="s">
        <v>910</v>
      </c>
      <c r="P111" t="s">
        <v>184</v>
      </c>
      <c r="Q111" t="s">
        <v>911</v>
      </c>
      <c r="R111" t="s">
        <v>912</v>
      </c>
      <c r="S111" t="s">
        <v>913</v>
      </c>
      <c r="T111" s="2" t="s">
        <v>914</v>
      </c>
      <c r="U111" t="s">
        <v>95</v>
      </c>
      <c r="AA111" t="s">
        <v>915</v>
      </c>
    </row>
    <row r="112" spans="1:27" x14ac:dyDescent="0.25">
      <c r="A112" t="s">
        <v>916</v>
      </c>
      <c r="B112" t="s">
        <v>917</v>
      </c>
      <c r="C112" t="s">
        <v>29</v>
      </c>
      <c r="D112" t="s">
        <v>761</v>
      </c>
      <c r="E112" t="s">
        <v>358</v>
      </c>
      <c r="F112" t="s">
        <v>682</v>
      </c>
      <c r="G112" t="s">
        <v>683</v>
      </c>
      <c r="H112" t="str">
        <f>INDEX([1]妻子表!$A:$A,MATCH(F112,[1]妻子表!$B:$B,0))</f>
        <v>M000072W01</v>
      </c>
      <c r="I112" t="str">
        <f>VLOOKUP(H112,[1]妻子表!$A:$D,4,0)</f>
        <v>王氏</v>
      </c>
      <c r="J112" t="s">
        <v>359</v>
      </c>
      <c r="K112" t="s">
        <v>918</v>
      </c>
      <c r="T112" s="2" t="s">
        <v>919</v>
      </c>
      <c r="U112" t="s">
        <v>425</v>
      </c>
      <c r="AA112" t="s">
        <v>920</v>
      </c>
    </row>
    <row r="113" spans="1:27" x14ac:dyDescent="0.25">
      <c r="A113" t="s">
        <v>921</v>
      </c>
      <c r="B113" t="s">
        <v>922</v>
      </c>
      <c r="C113" t="s">
        <v>29</v>
      </c>
      <c r="D113" t="s">
        <v>761</v>
      </c>
      <c r="E113" t="s">
        <v>358</v>
      </c>
      <c r="F113" t="s">
        <v>682</v>
      </c>
      <c r="G113" t="s">
        <v>683</v>
      </c>
      <c r="H113" t="str">
        <f>INDEX([1]妻子表!$A:$A,MATCH(F113,[1]妻子表!$B:$B,0))</f>
        <v>M000072W01</v>
      </c>
      <c r="I113" t="str">
        <f>VLOOKUP(H113,[1]妻子表!$A:$D,4,0)</f>
        <v>王氏</v>
      </c>
      <c r="J113" t="s">
        <v>359</v>
      </c>
      <c r="K113" t="s">
        <v>923</v>
      </c>
      <c r="L113" t="s">
        <v>311</v>
      </c>
      <c r="M113" t="s">
        <v>924</v>
      </c>
      <c r="N113" t="s">
        <v>925</v>
      </c>
      <c r="O113" t="s">
        <v>926</v>
      </c>
      <c r="P113" t="s">
        <v>497</v>
      </c>
      <c r="Q113" t="s">
        <v>927</v>
      </c>
      <c r="R113" t="s">
        <v>802</v>
      </c>
      <c r="S113" t="s">
        <v>928</v>
      </c>
      <c r="T113" s="2" t="s">
        <v>929</v>
      </c>
      <c r="U113" t="s">
        <v>38</v>
      </c>
      <c r="AA113" t="s">
        <v>930</v>
      </c>
    </row>
    <row r="114" spans="1:27" x14ac:dyDescent="0.25">
      <c r="A114" t="s">
        <v>931</v>
      </c>
      <c r="B114" t="s">
        <v>932</v>
      </c>
      <c r="C114" t="s">
        <v>29</v>
      </c>
      <c r="D114" t="s">
        <v>761</v>
      </c>
      <c r="E114" t="s">
        <v>358</v>
      </c>
      <c r="F114" t="s">
        <v>693</v>
      </c>
      <c r="G114" t="s">
        <v>694</v>
      </c>
      <c r="H114" t="str">
        <f>INDEX([1]妻子表!$A:$A,MATCH(F114,[1]妻子表!$B:$B,0))</f>
        <v>M000073W01</v>
      </c>
      <c r="I114" t="str">
        <f>VLOOKUP(H114,[1]妻子表!$A:$D,4,0)</f>
        <v>刘氏</v>
      </c>
      <c r="J114" t="s">
        <v>359</v>
      </c>
      <c r="T114" s="2" t="s">
        <v>933</v>
      </c>
      <c r="U114" t="s">
        <v>174</v>
      </c>
      <c r="AA114" t="s">
        <v>934</v>
      </c>
    </row>
    <row r="115" spans="1:27" x14ac:dyDescent="0.25">
      <c r="A115" t="s">
        <v>935</v>
      </c>
      <c r="B115" t="s">
        <v>936</v>
      </c>
      <c r="C115" t="s">
        <v>29</v>
      </c>
      <c r="D115" t="s">
        <v>761</v>
      </c>
      <c r="E115" t="s">
        <v>358</v>
      </c>
      <c r="F115" t="s">
        <v>693</v>
      </c>
      <c r="G115" t="s">
        <v>694</v>
      </c>
      <c r="H115" t="str">
        <f>INDEX([1]妻子表!$A:$A,MATCH(F115,[1]妻子表!$B:$B,0))</f>
        <v>M000073W01</v>
      </c>
      <c r="I115" t="str">
        <f>VLOOKUP(H115,[1]妻子表!$A:$D,4,0)</f>
        <v>刘氏</v>
      </c>
      <c r="J115" t="s">
        <v>359</v>
      </c>
      <c r="K115" t="s">
        <v>937</v>
      </c>
      <c r="M115" t="s">
        <v>938</v>
      </c>
      <c r="N115" t="s">
        <v>939</v>
      </c>
      <c r="O115" t="s">
        <v>940</v>
      </c>
      <c r="P115" t="s">
        <v>315</v>
      </c>
      <c r="T115" s="2" t="s">
        <v>941</v>
      </c>
      <c r="U115" t="s">
        <v>942</v>
      </c>
      <c r="AA115" t="s">
        <v>943</v>
      </c>
    </row>
    <row r="116" spans="1:27" x14ac:dyDescent="0.25">
      <c r="A116" t="s">
        <v>944</v>
      </c>
      <c r="B116" t="s">
        <v>945</v>
      </c>
      <c r="C116" t="s">
        <v>29</v>
      </c>
      <c r="D116" t="s">
        <v>761</v>
      </c>
      <c r="E116" t="s">
        <v>358</v>
      </c>
      <c r="F116" t="s">
        <v>693</v>
      </c>
      <c r="G116" t="s">
        <v>694</v>
      </c>
      <c r="H116" t="str">
        <f>INDEX([1]妻子表!$A:$A,MATCH(F116,[1]妻子表!$B:$B,0))</f>
        <v>M000073W01</v>
      </c>
      <c r="I116" t="str">
        <f>VLOOKUP(H116,[1]妻子表!$A:$D,4,0)</f>
        <v>刘氏</v>
      </c>
      <c r="J116" t="s">
        <v>359</v>
      </c>
      <c r="T116" s="2" t="s">
        <v>946</v>
      </c>
      <c r="U116" t="s">
        <v>174</v>
      </c>
      <c r="AA116" t="s">
        <v>947</v>
      </c>
    </row>
    <row r="117" spans="1:27" x14ac:dyDescent="0.25">
      <c r="A117" t="s">
        <v>948</v>
      </c>
      <c r="B117" t="s">
        <v>949</v>
      </c>
      <c r="C117" t="s">
        <v>29</v>
      </c>
      <c r="D117" t="s">
        <v>761</v>
      </c>
      <c r="E117" t="s">
        <v>358</v>
      </c>
      <c r="F117" t="s">
        <v>693</v>
      </c>
      <c r="G117" t="s">
        <v>694</v>
      </c>
      <c r="H117" t="str">
        <f>INDEX([1]妻子表!$A:$A,MATCH(F117,[1]妻子表!$B:$B,0))</f>
        <v>M000073W01</v>
      </c>
      <c r="I117" t="str">
        <f>VLOOKUP(H117,[1]妻子表!$A:$D,4,0)</f>
        <v>刘氏</v>
      </c>
      <c r="J117" t="s">
        <v>359</v>
      </c>
      <c r="K117" t="s">
        <v>950</v>
      </c>
      <c r="T117" s="2" t="s">
        <v>951</v>
      </c>
      <c r="U117" t="s">
        <v>952</v>
      </c>
      <c r="AA117" t="s">
        <v>953</v>
      </c>
    </row>
    <row r="118" spans="1:27" x14ac:dyDescent="0.25">
      <c r="A118" t="s">
        <v>954</v>
      </c>
      <c r="B118" t="s">
        <v>955</v>
      </c>
      <c r="C118" t="s">
        <v>29</v>
      </c>
      <c r="D118" t="s">
        <v>761</v>
      </c>
      <c r="E118" t="s">
        <v>358</v>
      </c>
      <c r="F118" t="s">
        <v>705</v>
      </c>
      <c r="G118" t="s">
        <v>706</v>
      </c>
      <c r="H118" t="str">
        <f>INDEX([1]妻子表!$A:$A,MATCH(F118,[1]妻子表!$B:$B,0))</f>
        <v>M000074W01</v>
      </c>
      <c r="I118" t="str">
        <f>VLOOKUP(H118,[1]妻子表!$A:$D,4,0)</f>
        <v>谭氏</v>
      </c>
      <c r="J118" t="s">
        <v>359</v>
      </c>
      <c r="K118" t="s">
        <v>956</v>
      </c>
      <c r="L118" t="s">
        <v>957</v>
      </c>
      <c r="M118" t="s">
        <v>958</v>
      </c>
      <c r="N118" t="s">
        <v>959</v>
      </c>
      <c r="O118" t="s">
        <v>960</v>
      </c>
      <c r="P118" t="s">
        <v>240</v>
      </c>
      <c r="Q118" t="s">
        <v>961</v>
      </c>
      <c r="R118" t="s">
        <v>962</v>
      </c>
      <c r="S118" t="s">
        <v>963</v>
      </c>
      <c r="T118" s="2" t="s">
        <v>964</v>
      </c>
      <c r="U118" t="s">
        <v>138</v>
      </c>
      <c r="AA118" t="s">
        <v>965</v>
      </c>
    </row>
    <row r="119" spans="1:27" x14ac:dyDescent="0.25">
      <c r="A119" t="s">
        <v>966</v>
      </c>
      <c r="B119" t="s">
        <v>967</v>
      </c>
      <c r="C119" t="s">
        <v>29</v>
      </c>
      <c r="D119" t="s">
        <v>761</v>
      </c>
      <c r="E119" t="s">
        <v>358</v>
      </c>
      <c r="F119" t="s">
        <v>705</v>
      </c>
      <c r="G119" t="s">
        <v>706</v>
      </c>
      <c r="H119" t="str">
        <f>INDEX([1]妻子表!$A:$A,MATCH(F119,[1]妻子表!$B:$B,0))</f>
        <v>M000074W01</v>
      </c>
      <c r="I119" t="str">
        <f>VLOOKUP(H119,[1]妻子表!$A:$D,4,0)</f>
        <v>谭氏</v>
      </c>
      <c r="J119" t="s">
        <v>359</v>
      </c>
      <c r="K119" t="s">
        <v>968</v>
      </c>
      <c r="L119" t="s">
        <v>570</v>
      </c>
      <c r="M119" t="s">
        <v>969</v>
      </c>
      <c r="N119" t="s">
        <v>701</v>
      </c>
      <c r="O119" t="s">
        <v>970</v>
      </c>
      <c r="P119" t="s">
        <v>108</v>
      </c>
      <c r="Q119" t="s">
        <v>971</v>
      </c>
      <c r="R119" t="s">
        <v>972</v>
      </c>
      <c r="S119" t="s">
        <v>973</v>
      </c>
      <c r="T119" s="2" t="s">
        <v>974</v>
      </c>
      <c r="U119" t="s">
        <v>975</v>
      </c>
      <c r="AA119" t="s">
        <v>976</v>
      </c>
    </row>
    <row r="120" spans="1:27" x14ac:dyDescent="0.25">
      <c r="A120" t="s">
        <v>977</v>
      </c>
      <c r="B120" t="s">
        <v>978</v>
      </c>
      <c r="C120" t="s">
        <v>29</v>
      </c>
      <c r="D120" t="s">
        <v>761</v>
      </c>
      <c r="E120" t="s">
        <v>358</v>
      </c>
      <c r="F120" t="s">
        <v>718</v>
      </c>
      <c r="G120" t="s">
        <v>719</v>
      </c>
      <c r="H120" t="str">
        <f>INDEX([1]妻子表!$A:$A,MATCH(F120,[1]妻子表!$B:$B,0))</f>
        <v>M000075W01</v>
      </c>
      <c r="I120" t="str">
        <f>VLOOKUP(H120,[1]妻子表!$A:$D,4,0)</f>
        <v>刘氏</v>
      </c>
      <c r="J120" t="s">
        <v>359</v>
      </c>
      <c r="K120" t="s">
        <v>979</v>
      </c>
      <c r="L120" t="s">
        <v>403</v>
      </c>
      <c r="M120" t="s">
        <v>980</v>
      </c>
      <c r="N120" t="s">
        <v>981</v>
      </c>
      <c r="O120" t="s">
        <v>982</v>
      </c>
      <c r="P120" t="s">
        <v>497</v>
      </c>
      <c r="Q120" t="s">
        <v>983</v>
      </c>
      <c r="R120" t="s">
        <v>984</v>
      </c>
      <c r="S120" t="s">
        <v>985</v>
      </c>
      <c r="T120" s="2" t="s">
        <v>986</v>
      </c>
      <c r="U120" t="s">
        <v>882</v>
      </c>
      <c r="AA120" t="s">
        <v>987</v>
      </c>
    </row>
    <row r="121" spans="1:27" x14ac:dyDescent="0.25">
      <c r="A121" t="s">
        <v>988</v>
      </c>
      <c r="B121" t="s">
        <v>989</v>
      </c>
      <c r="C121" t="s">
        <v>29</v>
      </c>
      <c r="D121" t="s">
        <v>761</v>
      </c>
      <c r="E121" t="s">
        <v>358</v>
      </c>
      <c r="F121" t="s">
        <v>722</v>
      </c>
      <c r="G121" t="s">
        <v>723</v>
      </c>
      <c r="H121" t="str">
        <f>INDEX([1]妻子表!$A:$A,MATCH(F121,[1]妻子表!$B:$B,0))</f>
        <v>M000076W01</v>
      </c>
      <c r="I121" t="str">
        <f>VLOOKUP(H121,[1]妻子表!$A:$D,4,0)</f>
        <v>萧氏</v>
      </c>
      <c r="J121" t="s">
        <v>359</v>
      </c>
      <c r="K121" t="s">
        <v>990</v>
      </c>
      <c r="L121" t="s">
        <v>374</v>
      </c>
      <c r="M121" t="s">
        <v>991</v>
      </c>
      <c r="N121" t="s">
        <v>959</v>
      </c>
      <c r="O121" t="s">
        <v>992</v>
      </c>
      <c r="P121" t="s">
        <v>240</v>
      </c>
      <c r="Q121" t="s">
        <v>993</v>
      </c>
      <c r="R121" t="s">
        <v>898</v>
      </c>
      <c r="S121" t="s">
        <v>994</v>
      </c>
      <c r="AA121" t="s">
        <v>995</v>
      </c>
    </row>
    <row r="122" spans="1:27" x14ac:dyDescent="0.25">
      <c r="A122" t="s">
        <v>996</v>
      </c>
      <c r="B122" t="s">
        <v>997</v>
      </c>
      <c r="C122" t="s">
        <v>29</v>
      </c>
      <c r="D122" t="s">
        <v>761</v>
      </c>
      <c r="E122" t="s">
        <v>358</v>
      </c>
      <c r="F122" t="s">
        <v>722</v>
      </c>
      <c r="G122" t="s">
        <v>723</v>
      </c>
      <c r="H122" t="str">
        <f>INDEX([1]妻子表!$A:$A,MATCH(F122,[1]妻子表!$B:$B,0))</f>
        <v>M000076W01</v>
      </c>
      <c r="I122" t="str">
        <f>VLOOKUP(H122,[1]妻子表!$A:$D,4,0)</f>
        <v>萧氏</v>
      </c>
      <c r="J122" t="s">
        <v>359</v>
      </c>
      <c r="K122" t="s">
        <v>998</v>
      </c>
      <c r="L122" t="s">
        <v>374</v>
      </c>
      <c r="M122" t="s">
        <v>999</v>
      </c>
      <c r="N122" t="s">
        <v>1000</v>
      </c>
      <c r="O122" t="s">
        <v>1001</v>
      </c>
      <c r="P122" t="s">
        <v>315</v>
      </c>
      <c r="Q122" t="s">
        <v>1002</v>
      </c>
      <c r="R122" t="s">
        <v>1003</v>
      </c>
      <c r="S122" t="s">
        <v>1004</v>
      </c>
      <c r="T122" s="2" t="s">
        <v>1005</v>
      </c>
      <c r="U122" t="s">
        <v>174</v>
      </c>
      <c r="AA122" t="s">
        <v>1006</v>
      </c>
    </row>
    <row r="123" spans="1:27" x14ac:dyDescent="0.25">
      <c r="A123" t="s">
        <v>1007</v>
      </c>
      <c r="B123" t="s">
        <v>1008</v>
      </c>
      <c r="C123" t="s">
        <v>29</v>
      </c>
      <c r="D123" t="s">
        <v>761</v>
      </c>
      <c r="E123" t="s">
        <v>358</v>
      </c>
      <c r="F123" t="s">
        <v>722</v>
      </c>
      <c r="G123" t="s">
        <v>723</v>
      </c>
      <c r="H123" t="str">
        <f>INDEX([1]妻子表!$A:$A,MATCH(F123,[1]妻子表!$B:$B,0))</f>
        <v>M000076W01</v>
      </c>
      <c r="I123" t="str">
        <f>VLOOKUP(H123,[1]妻子表!$A:$D,4,0)</f>
        <v>萧氏</v>
      </c>
      <c r="J123" t="s">
        <v>359</v>
      </c>
      <c r="K123" t="s">
        <v>1009</v>
      </c>
      <c r="L123" t="s">
        <v>467</v>
      </c>
      <c r="M123" t="s">
        <v>1010</v>
      </c>
      <c r="N123" t="s">
        <v>1011</v>
      </c>
      <c r="O123" t="s">
        <v>1012</v>
      </c>
      <c r="P123" t="s">
        <v>601</v>
      </c>
      <c r="Q123" t="s">
        <v>1013</v>
      </c>
      <c r="R123" t="s">
        <v>1014</v>
      </c>
      <c r="S123" t="s">
        <v>1015</v>
      </c>
      <c r="T123" s="2" t="s">
        <v>1016</v>
      </c>
      <c r="U123" t="s">
        <v>174</v>
      </c>
      <c r="AA123" t="s">
        <v>1017</v>
      </c>
    </row>
    <row r="124" spans="1:27" x14ac:dyDescent="0.25">
      <c r="A124" t="s">
        <v>1018</v>
      </c>
      <c r="B124" t="s">
        <v>1019</v>
      </c>
      <c r="C124" t="s">
        <v>29</v>
      </c>
      <c r="D124" t="s">
        <v>761</v>
      </c>
      <c r="E124" t="s">
        <v>358</v>
      </c>
      <c r="F124" t="s">
        <v>722</v>
      </c>
      <c r="G124" t="s">
        <v>723</v>
      </c>
      <c r="H124" t="str">
        <f>INDEX([1]妻子表!$A:$A,MATCH(F124,[1]妻子表!$B:$B,0))</f>
        <v>M000076W01</v>
      </c>
      <c r="I124" t="str">
        <f>VLOOKUP(H124,[1]妻子表!$A:$D,4,0)</f>
        <v>萧氏</v>
      </c>
      <c r="J124" t="s">
        <v>359</v>
      </c>
      <c r="K124" t="s">
        <v>1020</v>
      </c>
      <c r="L124" t="s">
        <v>708</v>
      </c>
      <c r="M124" t="s">
        <v>1021</v>
      </c>
      <c r="N124" t="s">
        <v>875</v>
      </c>
      <c r="O124" t="s">
        <v>1022</v>
      </c>
      <c r="P124" t="s">
        <v>497</v>
      </c>
      <c r="Q124" t="s">
        <v>1023</v>
      </c>
      <c r="R124" t="s">
        <v>1024</v>
      </c>
      <c r="S124" t="s">
        <v>1025</v>
      </c>
      <c r="T124" s="2" t="s">
        <v>1026</v>
      </c>
      <c r="U124" t="s">
        <v>174</v>
      </c>
      <c r="Y124" t="s">
        <v>1027</v>
      </c>
      <c r="AA124" t="s">
        <v>1028</v>
      </c>
    </row>
    <row r="125" spans="1:27" x14ac:dyDescent="0.25">
      <c r="A125" t="s">
        <v>1029</v>
      </c>
      <c r="B125" t="s">
        <v>1030</v>
      </c>
      <c r="C125" t="s">
        <v>29</v>
      </c>
      <c r="D125" t="s">
        <v>761</v>
      </c>
      <c r="E125" t="s">
        <v>358</v>
      </c>
      <c r="F125" t="s">
        <v>722</v>
      </c>
      <c r="G125" t="s">
        <v>723</v>
      </c>
      <c r="H125" t="str">
        <f>INDEX([1]妻子表!$A:$A,MATCH(F125,[1]妻子表!$B:$B,0))</f>
        <v>M000076W01</v>
      </c>
      <c r="I125" t="str">
        <f>VLOOKUP(H125,[1]妻子表!$A:$D,4,0)</f>
        <v>萧氏</v>
      </c>
      <c r="J125" t="s">
        <v>359</v>
      </c>
      <c r="K125" t="s">
        <v>1031</v>
      </c>
      <c r="L125" t="s">
        <v>627</v>
      </c>
      <c r="M125" t="s">
        <v>1032</v>
      </c>
      <c r="N125" t="s">
        <v>1033</v>
      </c>
      <c r="O125" t="s">
        <v>1034</v>
      </c>
      <c r="P125" t="s">
        <v>315</v>
      </c>
      <c r="Q125" t="s">
        <v>1035</v>
      </c>
      <c r="R125" t="s">
        <v>1036</v>
      </c>
      <c r="S125" t="s">
        <v>1037</v>
      </c>
      <c r="T125" s="2" t="s">
        <v>1038</v>
      </c>
      <c r="AA125" t="s">
        <v>1039</v>
      </c>
    </row>
    <row r="126" spans="1:27" ht="31.5" customHeight="1" x14ac:dyDescent="0.25">
      <c r="A126" t="s">
        <v>1040</v>
      </c>
      <c r="B126" t="s">
        <v>1041</v>
      </c>
      <c r="C126" t="s">
        <v>29</v>
      </c>
      <c r="D126" t="s">
        <v>761</v>
      </c>
      <c r="E126" t="s">
        <v>358</v>
      </c>
      <c r="F126" t="s">
        <v>722</v>
      </c>
      <c r="G126" t="s">
        <v>723</v>
      </c>
      <c r="H126" t="str">
        <f>INDEX([1]妻子表!$A:$A,MATCH(F126,[1]妻子表!$B:$B,0))</f>
        <v>M000076W01</v>
      </c>
      <c r="I126" t="str">
        <f>VLOOKUP(H126,[1]妻子表!$A:$D,4,0)</f>
        <v>萧氏</v>
      </c>
      <c r="J126" t="s">
        <v>359</v>
      </c>
      <c r="K126" t="s">
        <v>1042</v>
      </c>
      <c r="L126" t="s">
        <v>180</v>
      </c>
      <c r="M126" t="s">
        <v>1043</v>
      </c>
      <c r="N126" t="s">
        <v>1044</v>
      </c>
      <c r="O126" t="s">
        <v>1045</v>
      </c>
      <c r="P126" t="s">
        <v>497</v>
      </c>
      <c r="Q126" t="s">
        <v>1046</v>
      </c>
      <c r="R126" t="s">
        <v>1047</v>
      </c>
      <c r="S126" t="s">
        <v>1048</v>
      </c>
      <c r="T126" s="2" t="s">
        <v>1049</v>
      </c>
      <c r="U126" t="s">
        <v>1050</v>
      </c>
      <c r="AA126" t="s">
        <v>1051</v>
      </c>
    </row>
    <row r="127" spans="1:27" x14ac:dyDescent="0.25">
      <c r="A127" t="s">
        <v>1052</v>
      </c>
      <c r="B127" t="s">
        <v>1053</v>
      </c>
      <c r="C127" t="s">
        <v>29</v>
      </c>
      <c r="D127" t="s">
        <v>761</v>
      </c>
      <c r="E127" t="s">
        <v>358</v>
      </c>
      <c r="F127" t="s">
        <v>734</v>
      </c>
      <c r="G127" t="s">
        <v>735</v>
      </c>
      <c r="H127" t="str">
        <f>INDEX([1]妻子表!$A:$A,MATCH(F127,[1]妻子表!$B:$B,0))</f>
        <v>M000077W01</v>
      </c>
      <c r="I127" t="str">
        <f>VLOOKUP(H127,[1]妻子表!$A:$D,4,0)</f>
        <v>唐氏</v>
      </c>
      <c r="J127" t="s">
        <v>359</v>
      </c>
      <c r="K127" t="s">
        <v>1054</v>
      </c>
      <c r="L127" t="s">
        <v>1055</v>
      </c>
      <c r="M127" t="s">
        <v>1056</v>
      </c>
      <c r="N127" t="s">
        <v>959</v>
      </c>
      <c r="O127" t="s">
        <v>1057</v>
      </c>
      <c r="P127" t="s">
        <v>240</v>
      </c>
      <c r="Q127" t="s">
        <v>1058</v>
      </c>
      <c r="R127" t="s">
        <v>1059</v>
      </c>
      <c r="S127" t="s">
        <v>1060</v>
      </c>
      <c r="T127" s="2" t="s">
        <v>1061</v>
      </c>
      <c r="U127" t="s">
        <v>138</v>
      </c>
      <c r="AA127" t="s">
        <v>1062</v>
      </c>
    </row>
    <row r="128" spans="1:27" x14ac:dyDescent="0.25">
      <c r="A128" t="s">
        <v>1063</v>
      </c>
      <c r="B128" t="s">
        <v>1064</v>
      </c>
      <c r="C128" t="s">
        <v>29</v>
      </c>
      <c r="D128" t="s">
        <v>761</v>
      </c>
      <c r="E128" t="s">
        <v>358</v>
      </c>
      <c r="F128" t="s">
        <v>734</v>
      </c>
      <c r="G128" t="s">
        <v>735</v>
      </c>
      <c r="H128" t="str">
        <f>INDEX([1]妻子表!$A:$A,MATCH(F128,[1]妻子表!$B:$B,0))</f>
        <v>M000077W01</v>
      </c>
      <c r="I128" t="str">
        <f>VLOOKUP(H128,[1]妻子表!$A:$D,4,0)</f>
        <v>唐氏</v>
      </c>
      <c r="J128" t="s">
        <v>359</v>
      </c>
      <c r="K128" t="s">
        <v>1065</v>
      </c>
      <c r="L128" t="s">
        <v>518</v>
      </c>
      <c r="M128" t="s">
        <v>1066</v>
      </c>
      <c r="N128" t="s">
        <v>678</v>
      </c>
      <c r="O128" t="s">
        <v>1067</v>
      </c>
      <c r="P128" t="s">
        <v>169</v>
      </c>
      <c r="Q128" t="s">
        <v>1068</v>
      </c>
      <c r="R128" t="s">
        <v>901</v>
      </c>
      <c r="S128" t="s">
        <v>1069</v>
      </c>
      <c r="T128" s="2" t="s">
        <v>1070</v>
      </c>
      <c r="U128" t="s">
        <v>174</v>
      </c>
      <c r="AA128" t="s">
        <v>1071</v>
      </c>
    </row>
    <row r="129" spans="1:27" x14ac:dyDescent="0.25">
      <c r="A129" t="s">
        <v>1072</v>
      </c>
      <c r="B129" t="s">
        <v>1073</v>
      </c>
      <c r="C129" t="s">
        <v>29</v>
      </c>
      <c r="D129" t="s">
        <v>761</v>
      </c>
      <c r="E129" t="s">
        <v>358</v>
      </c>
      <c r="F129" t="s">
        <v>734</v>
      </c>
      <c r="G129" t="s">
        <v>735</v>
      </c>
      <c r="H129" t="str">
        <f>INDEX([1]妻子表!$A:$A,MATCH(F129,[1]妻子表!$B:$B,0))</f>
        <v>M000077W01</v>
      </c>
      <c r="I129" t="str">
        <f>VLOOKUP(H129,[1]妻子表!$A:$D,4,0)</f>
        <v>唐氏</v>
      </c>
      <c r="J129" t="s">
        <v>359</v>
      </c>
      <c r="K129" t="s">
        <v>1074</v>
      </c>
      <c r="L129" t="s">
        <v>1075</v>
      </c>
      <c r="M129" t="s">
        <v>1076</v>
      </c>
      <c r="N129" t="s">
        <v>701</v>
      </c>
      <c r="O129" t="s">
        <v>1077</v>
      </c>
      <c r="P129" t="s">
        <v>108</v>
      </c>
      <c r="Q129" t="s">
        <v>1078</v>
      </c>
      <c r="R129" t="s">
        <v>1079</v>
      </c>
      <c r="S129" t="s">
        <v>1080</v>
      </c>
      <c r="T129" s="2" t="s">
        <v>1081</v>
      </c>
      <c r="U129" t="s">
        <v>777</v>
      </c>
      <c r="AA129" t="s">
        <v>1082</v>
      </c>
    </row>
    <row r="130" spans="1:27" x14ac:dyDescent="0.25">
      <c r="A130" t="s">
        <v>1083</v>
      </c>
      <c r="B130" t="s">
        <v>1084</v>
      </c>
      <c r="C130" t="s">
        <v>29</v>
      </c>
      <c r="D130" t="s">
        <v>1085</v>
      </c>
      <c r="E130" t="s">
        <v>358</v>
      </c>
      <c r="F130" t="s">
        <v>763</v>
      </c>
      <c r="G130" t="s">
        <v>764</v>
      </c>
      <c r="H130" t="str">
        <f>INDEX([1]妻子表!$A:$A,MATCH(F130,[1]妻子表!$B:$B,0))</f>
        <v>M000081W01</v>
      </c>
      <c r="I130" t="str">
        <f>VLOOKUP(H130,[1]妻子表!$A:$D,4,0)</f>
        <v>刘氏</v>
      </c>
      <c r="J130" t="s">
        <v>359</v>
      </c>
      <c r="L130" t="s">
        <v>441</v>
      </c>
      <c r="M130" t="s">
        <v>1086</v>
      </c>
      <c r="N130" t="s">
        <v>1087</v>
      </c>
      <c r="O130" t="s">
        <v>1088</v>
      </c>
      <c r="P130" t="s">
        <v>240</v>
      </c>
      <c r="Q130" t="s">
        <v>1089</v>
      </c>
      <c r="R130" t="s">
        <v>1090</v>
      </c>
      <c r="S130" t="s">
        <v>1091</v>
      </c>
      <c r="AA130" t="s">
        <v>1092</v>
      </c>
    </row>
    <row r="131" spans="1:27" x14ac:dyDescent="0.25">
      <c r="A131" t="s">
        <v>1093</v>
      </c>
      <c r="B131" t="s">
        <v>1094</v>
      </c>
      <c r="C131" t="s">
        <v>29</v>
      </c>
      <c r="D131" t="s">
        <v>1085</v>
      </c>
      <c r="E131" t="s">
        <v>358</v>
      </c>
      <c r="F131" t="s">
        <v>774</v>
      </c>
      <c r="G131" t="s">
        <v>775</v>
      </c>
      <c r="H131" t="str">
        <f>INDEX([1]妻子表!$A:$A,MATCH(F131,[1]妻子表!$B:$B,0))</f>
        <v>M000082W01</v>
      </c>
      <c r="I131" t="str">
        <f>VLOOKUP(H131,[1]妻子表!$A:$D,4,0)</f>
        <v>某氏</v>
      </c>
      <c r="J131" t="s">
        <v>359</v>
      </c>
      <c r="L131" t="s">
        <v>417</v>
      </c>
      <c r="M131" t="s">
        <v>1095</v>
      </c>
      <c r="N131" t="s">
        <v>1096</v>
      </c>
      <c r="O131" t="s">
        <v>1097</v>
      </c>
      <c r="P131" t="s">
        <v>240</v>
      </c>
      <c r="Q131" t="s">
        <v>1098</v>
      </c>
      <c r="R131" t="s">
        <v>1099</v>
      </c>
      <c r="S131" t="s">
        <v>1100</v>
      </c>
      <c r="T131" s="2" t="s">
        <v>1101</v>
      </c>
      <c r="U131" t="s">
        <v>882</v>
      </c>
      <c r="AA131" t="s">
        <v>1102</v>
      </c>
    </row>
    <row r="132" spans="1:27" x14ac:dyDescent="0.25">
      <c r="A132" t="s">
        <v>1103</v>
      </c>
      <c r="B132" t="s">
        <v>1104</v>
      </c>
      <c r="C132" t="s">
        <v>29</v>
      </c>
      <c r="D132" t="s">
        <v>1085</v>
      </c>
      <c r="E132" t="s">
        <v>358</v>
      </c>
      <c r="F132" t="s">
        <v>779</v>
      </c>
      <c r="G132" t="s">
        <v>780</v>
      </c>
      <c r="H132" t="str">
        <f>INDEX([1]妻子表!$A:$A,MATCH(F132,[1]妻子表!$B:$B,0))</f>
        <v>M000083W01</v>
      </c>
      <c r="I132" t="str">
        <f>VLOOKUP(H132,[1]妻子表!$A:$D,4,0)</f>
        <v>刘氏</v>
      </c>
      <c r="J132" t="s">
        <v>359</v>
      </c>
      <c r="AA132" t="s">
        <v>1105</v>
      </c>
    </row>
    <row r="133" spans="1:27" x14ac:dyDescent="0.25">
      <c r="A133" t="s">
        <v>1106</v>
      </c>
      <c r="B133" t="s">
        <v>1107</v>
      </c>
      <c r="C133" t="s">
        <v>29</v>
      </c>
      <c r="D133" t="s">
        <v>1085</v>
      </c>
      <c r="E133" t="s">
        <v>358</v>
      </c>
      <c r="F133" t="s">
        <v>783</v>
      </c>
      <c r="G133" t="s">
        <v>784</v>
      </c>
      <c r="H133" t="str">
        <f>INDEX([1]妻子表!$A:$A,MATCH(F133,[1]妻子表!$B:$B,0))</f>
        <v>M000084W01</v>
      </c>
      <c r="I133" t="str">
        <f>VLOOKUP(H133,[1]妻子表!$A:$D,4,0)</f>
        <v>陈氏</v>
      </c>
      <c r="J133" t="s">
        <v>359</v>
      </c>
      <c r="AA133" t="s">
        <v>489</v>
      </c>
    </row>
    <row r="134" spans="1:27" x14ac:dyDescent="0.25">
      <c r="A134" t="s">
        <v>1108</v>
      </c>
      <c r="B134" t="s">
        <v>1109</v>
      </c>
      <c r="C134" t="s">
        <v>29</v>
      </c>
      <c r="D134" t="s">
        <v>1085</v>
      </c>
      <c r="E134" t="s">
        <v>358</v>
      </c>
      <c r="F134" t="s">
        <v>783</v>
      </c>
      <c r="G134" t="s">
        <v>784</v>
      </c>
      <c r="H134" t="str">
        <f>INDEX([1]妻子表!$A:$A,MATCH(F134,[1]妻子表!$B:$B,0))</f>
        <v>M000084W01</v>
      </c>
      <c r="I134" t="str">
        <f>VLOOKUP(H134,[1]妻子表!$A:$D,4,0)</f>
        <v>陈氏</v>
      </c>
      <c r="J134" t="s">
        <v>359</v>
      </c>
      <c r="AA134" t="s">
        <v>1110</v>
      </c>
    </row>
    <row r="135" spans="1:27" x14ac:dyDescent="0.25">
      <c r="A135" t="s">
        <v>1111</v>
      </c>
      <c r="B135" t="s">
        <v>1112</v>
      </c>
      <c r="C135" t="s">
        <v>29</v>
      </c>
      <c r="D135" t="s">
        <v>1085</v>
      </c>
      <c r="E135" t="s">
        <v>358</v>
      </c>
      <c r="F135" t="s">
        <v>783</v>
      </c>
      <c r="G135" t="s">
        <v>784</v>
      </c>
      <c r="H135" t="str">
        <f>INDEX([1]妻子表!$A:$A,MATCH(F135,[1]妻子表!$B:$B,0))</f>
        <v>M000084W01</v>
      </c>
      <c r="I135" t="str">
        <f>VLOOKUP(H135,[1]妻子表!$A:$D,4,0)</f>
        <v>陈氏</v>
      </c>
      <c r="J135" t="s">
        <v>359</v>
      </c>
      <c r="AA135" t="s">
        <v>489</v>
      </c>
    </row>
    <row r="136" spans="1:27" x14ac:dyDescent="0.25">
      <c r="A136" t="s">
        <v>1113</v>
      </c>
      <c r="B136" t="s">
        <v>1114</v>
      </c>
      <c r="C136" t="s">
        <v>29</v>
      </c>
      <c r="D136" t="s">
        <v>1085</v>
      </c>
      <c r="E136" t="s">
        <v>358</v>
      </c>
      <c r="F136" t="s">
        <v>796</v>
      </c>
      <c r="G136" t="s">
        <v>797</v>
      </c>
      <c r="H136" t="str">
        <f>INDEX([1]妻子表!$A:$A,MATCH(F136,[1]妻子表!$B:$B,0))</f>
        <v>M000086W01</v>
      </c>
      <c r="I136" t="str">
        <f>VLOOKUP(H136,[1]妻子表!$A:$D,4,0)</f>
        <v>刘氏</v>
      </c>
      <c r="J136" t="s">
        <v>359</v>
      </c>
      <c r="K136" t="s">
        <v>638</v>
      </c>
      <c r="L136" t="s">
        <v>825</v>
      </c>
      <c r="M136" t="s">
        <v>1115</v>
      </c>
      <c r="N136" t="s">
        <v>875</v>
      </c>
      <c r="O136" t="s">
        <v>1116</v>
      </c>
      <c r="P136" t="s">
        <v>497</v>
      </c>
      <c r="Q136" t="s">
        <v>1117</v>
      </c>
      <c r="R136" t="s">
        <v>1090</v>
      </c>
      <c r="S136" t="s">
        <v>1118</v>
      </c>
      <c r="T136" s="2" t="s">
        <v>1119</v>
      </c>
      <c r="U136" t="s">
        <v>95</v>
      </c>
      <c r="AA136" t="s">
        <v>1120</v>
      </c>
    </row>
    <row r="137" spans="1:27" ht="31.5" customHeight="1" x14ac:dyDescent="0.25">
      <c r="A137" t="s">
        <v>1121</v>
      </c>
      <c r="B137" t="s">
        <v>1122</v>
      </c>
      <c r="C137" t="s">
        <v>29</v>
      </c>
      <c r="D137" t="s">
        <v>1085</v>
      </c>
      <c r="E137" t="s">
        <v>358</v>
      </c>
      <c r="F137" t="s">
        <v>796</v>
      </c>
      <c r="G137" t="s">
        <v>797</v>
      </c>
      <c r="H137" t="str">
        <f>INDEX([1]妻子表!$A:$A,MATCH(F137,[1]妻子表!$B:$B,0))</f>
        <v>M000086W01</v>
      </c>
      <c r="I137" t="str">
        <f>VLOOKUP(H137,[1]妻子表!$A:$D,4,0)</f>
        <v>刘氏</v>
      </c>
      <c r="J137" t="s">
        <v>359</v>
      </c>
      <c r="K137" t="s">
        <v>950</v>
      </c>
      <c r="L137" t="s">
        <v>1123</v>
      </c>
      <c r="M137" t="s">
        <v>1124</v>
      </c>
      <c r="N137" t="s">
        <v>1125</v>
      </c>
      <c r="O137" t="s">
        <v>1126</v>
      </c>
      <c r="P137" t="s">
        <v>458</v>
      </c>
      <c r="Q137" t="s">
        <v>1127</v>
      </c>
      <c r="R137" t="s">
        <v>1128</v>
      </c>
      <c r="S137" t="s">
        <v>1129</v>
      </c>
      <c r="T137" s="2" t="s">
        <v>1130</v>
      </c>
      <c r="U137" t="s">
        <v>1131</v>
      </c>
      <c r="AA137" t="s">
        <v>1132</v>
      </c>
    </row>
    <row r="138" spans="1:27" x14ac:dyDescent="0.25">
      <c r="A138" t="s">
        <v>1133</v>
      </c>
      <c r="B138" t="s">
        <v>1134</v>
      </c>
      <c r="C138" t="s">
        <v>29</v>
      </c>
      <c r="D138" t="s">
        <v>1085</v>
      </c>
      <c r="E138" t="s">
        <v>358</v>
      </c>
      <c r="F138" t="s">
        <v>796</v>
      </c>
      <c r="G138" t="s">
        <v>797</v>
      </c>
      <c r="H138" t="str">
        <f>INDEX([1]妻子表!$A:$A,MATCH(F138,[1]妻子表!$B:$B,0))</f>
        <v>M000086W01</v>
      </c>
      <c r="I138" t="str">
        <f>VLOOKUP(H138,[1]妻子表!$A:$D,4,0)</f>
        <v>刘氏</v>
      </c>
      <c r="J138" t="s">
        <v>359</v>
      </c>
      <c r="AA138" t="s">
        <v>1135</v>
      </c>
    </row>
    <row r="139" spans="1:27" x14ac:dyDescent="0.25">
      <c r="A139" t="s">
        <v>1136</v>
      </c>
      <c r="B139" t="s">
        <v>1137</v>
      </c>
      <c r="C139" t="s">
        <v>29</v>
      </c>
      <c r="D139" t="s">
        <v>1085</v>
      </c>
      <c r="E139" t="s">
        <v>358</v>
      </c>
      <c r="F139" t="s">
        <v>809</v>
      </c>
      <c r="G139" t="s">
        <v>810</v>
      </c>
      <c r="H139" t="str">
        <f>INDEX([1]妻子表!$A:$A,MATCH(F139,[1]妻子表!$B:$B,0))</f>
        <v>M000088W01</v>
      </c>
      <c r="I139" t="str">
        <f>VLOOKUP(H139,[1]妻子表!$A:$D,4,0)</f>
        <v>刘氏</v>
      </c>
      <c r="J139" t="s">
        <v>359</v>
      </c>
      <c r="K139" t="s">
        <v>1138</v>
      </c>
      <c r="T139" s="2" t="s">
        <v>1139</v>
      </c>
      <c r="U139" t="s">
        <v>245</v>
      </c>
      <c r="AA139" t="s">
        <v>1140</v>
      </c>
    </row>
    <row r="140" spans="1:27" x14ac:dyDescent="0.25">
      <c r="A140" t="s">
        <v>1141</v>
      </c>
      <c r="B140" t="s">
        <v>1142</v>
      </c>
      <c r="C140" t="s">
        <v>29</v>
      </c>
      <c r="D140" t="s">
        <v>1085</v>
      </c>
      <c r="E140" t="s">
        <v>358</v>
      </c>
      <c r="F140" t="s">
        <v>822</v>
      </c>
      <c r="G140" t="s">
        <v>823</v>
      </c>
      <c r="H140" t="str">
        <f>INDEX([1]妻子表!$A:$A,MATCH(F140,[1]妻子表!$B:$B,0))</f>
        <v>M000090W01</v>
      </c>
      <c r="I140" t="str">
        <f>VLOOKUP(H140,[1]妻子表!$A:$D,4,0)</f>
        <v>陆氏</v>
      </c>
      <c r="J140" t="s">
        <v>359</v>
      </c>
      <c r="M140" t="s">
        <v>1143</v>
      </c>
      <c r="N140" t="s">
        <v>1087</v>
      </c>
      <c r="O140" t="s">
        <v>1144</v>
      </c>
      <c r="P140" t="s">
        <v>240</v>
      </c>
      <c r="T140" s="2" t="s">
        <v>1145</v>
      </c>
      <c r="U140" t="s">
        <v>174</v>
      </c>
      <c r="AA140" t="s">
        <v>1146</v>
      </c>
    </row>
    <row r="141" spans="1:27" x14ac:dyDescent="0.25">
      <c r="A141" t="s">
        <v>1147</v>
      </c>
      <c r="B141" t="s">
        <v>1148</v>
      </c>
      <c r="C141" t="s">
        <v>29</v>
      </c>
      <c r="D141" t="s">
        <v>1085</v>
      </c>
      <c r="E141" t="s">
        <v>358</v>
      </c>
      <c r="F141" t="s">
        <v>822</v>
      </c>
      <c r="G141" t="s">
        <v>823</v>
      </c>
      <c r="H141" t="str">
        <f>INDEX([1]妻子表!$A:$A,MATCH(F141,[1]妻子表!$B:$B,0))</f>
        <v>M000090W01</v>
      </c>
      <c r="I141" t="str">
        <f>VLOOKUP(H141,[1]妻子表!$A:$D,4,0)</f>
        <v>陆氏</v>
      </c>
      <c r="J141" t="s">
        <v>359</v>
      </c>
      <c r="AA141" t="s">
        <v>1149</v>
      </c>
    </row>
    <row r="142" spans="1:27" x14ac:dyDescent="0.25">
      <c r="A142" t="s">
        <v>1150</v>
      </c>
      <c r="B142" t="s">
        <v>1151</v>
      </c>
      <c r="C142" t="s">
        <v>29</v>
      </c>
      <c r="D142" t="s">
        <v>1085</v>
      </c>
      <c r="E142" t="s">
        <v>358</v>
      </c>
      <c r="F142" t="s">
        <v>835</v>
      </c>
      <c r="G142" t="s">
        <v>836</v>
      </c>
      <c r="H142" t="str">
        <f>INDEX([1]妻子表!$A:$A,MATCH(F142,[1]妻子表!$B:$B,0))</f>
        <v>M000091W01</v>
      </c>
      <c r="I142" t="str">
        <f>VLOOKUP(H142,[1]妻子表!$A:$D,4,0)</f>
        <v>左氏</v>
      </c>
      <c r="J142" t="s">
        <v>359</v>
      </c>
      <c r="AA142" t="s">
        <v>489</v>
      </c>
    </row>
    <row r="143" spans="1:27" x14ac:dyDescent="0.25">
      <c r="A143" t="s">
        <v>1152</v>
      </c>
      <c r="B143" t="s">
        <v>1153</v>
      </c>
      <c r="C143" t="s">
        <v>29</v>
      </c>
      <c r="D143" t="s">
        <v>1085</v>
      </c>
      <c r="E143" t="s">
        <v>358</v>
      </c>
      <c r="F143" t="s">
        <v>839</v>
      </c>
      <c r="G143" t="s">
        <v>840</v>
      </c>
      <c r="H143" t="str">
        <f>INDEX([1]妻子表!$A:$A,MATCH(F143,[1]妻子表!$B:$B,0))</f>
        <v>M000092W01</v>
      </c>
      <c r="I143" t="str">
        <f>VLOOKUP(H143,[1]妻子表!$A:$D,4,0)</f>
        <v>左氏</v>
      </c>
      <c r="J143" t="s">
        <v>359</v>
      </c>
      <c r="AA143" t="s">
        <v>489</v>
      </c>
    </row>
    <row r="144" spans="1:27" x14ac:dyDescent="0.25">
      <c r="A144" t="s">
        <v>1154</v>
      </c>
      <c r="B144" t="s">
        <v>1155</v>
      </c>
      <c r="C144" t="s">
        <v>29</v>
      </c>
      <c r="D144" t="s">
        <v>1085</v>
      </c>
      <c r="E144" t="s">
        <v>358</v>
      </c>
      <c r="F144" t="s">
        <v>843</v>
      </c>
      <c r="G144" t="s">
        <v>844</v>
      </c>
      <c r="H144" t="str">
        <f>INDEX([1]妻子表!$A:$A,MATCH(F144,[1]妻子表!$B:$B,0))</f>
        <v>M000093W01</v>
      </c>
      <c r="I144" t="str">
        <f>VLOOKUP(H144,[1]妻子表!$A:$D,4,0)</f>
        <v>陈氏</v>
      </c>
      <c r="J144" t="s">
        <v>359</v>
      </c>
      <c r="K144" t="s">
        <v>638</v>
      </c>
      <c r="L144" t="s">
        <v>1055</v>
      </c>
      <c r="M144" t="s">
        <v>1156</v>
      </c>
      <c r="N144" t="s">
        <v>751</v>
      </c>
      <c r="O144" t="s">
        <v>1157</v>
      </c>
      <c r="P144" t="s">
        <v>108</v>
      </c>
      <c r="Q144" t="s">
        <v>1158</v>
      </c>
      <c r="R144" t="s">
        <v>1159</v>
      </c>
      <c r="S144" t="s">
        <v>1160</v>
      </c>
      <c r="T144" s="2" t="s">
        <v>1161</v>
      </c>
      <c r="U144" t="s">
        <v>174</v>
      </c>
      <c r="AA144" t="s">
        <v>1162</v>
      </c>
    </row>
    <row r="145" spans="1:27" x14ac:dyDescent="0.25">
      <c r="A145" t="s">
        <v>1163</v>
      </c>
      <c r="B145" t="s">
        <v>1164</v>
      </c>
      <c r="C145" t="s">
        <v>29</v>
      </c>
      <c r="D145" t="s">
        <v>1085</v>
      </c>
      <c r="E145" t="s">
        <v>358</v>
      </c>
      <c r="F145" t="s">
        <v>843</v>
      </c>
      <c r="G145" t="s">
        <v>844</v>
      </c>
      <c r="H145" t="str">
        <f>INDEX([1]妻子表!$A:$A,MATCH(F145,[1]妻子表!$B:$B,0))</f>
        <v>M000093W01</v>
      </c>
      <c r="I145" t="str">
        <f>VLOOKUP(H145,[1]妻子表!$A:$D,4,0)</f>
        <v>陈氏</v>
      </c>
      <c r="J145" t="s">
        <v>359</v>
      </c>
      <c r="K145" t="s">
        <v>1138</v>
      </c>
      <c r="L145" t="s">
        <v>570</v>
      </c>
      <c r="M145" t="s">
        <v>1165</v>
      </c>
      <c r="N145" t="s">
        <v>730</v>
      </c>
      <c r="O145" t="s">
        <v>1166</v>
      </c>
      <c r="P145" t="s">
        <v>200</v>
      </c>
      <c r="Q145" t="s">
        <v>1167</v>
      </c>
      <c r="R145" t="s">
        <v>1168</v>
      </c>
      <c r="S145" t="s">
        <v>1169</v>
      </c>
      <c r="T145" s="2" t="s">
        <v>1170</v>
      </c>
      <c r="U145" t="s">
        <v>245</v>
      </c>
      <c r="AA145" t="s">
        <v>1171</v>
      </c>
    </row>
    <row r="146" spans="1:27" x14ac:dyDescent="0.25">
      <c r="A146" t="s">
        <v>1172</v>
      </c>
      <c r="B146" t="s">
        <v>1173</v>
      </c>
      <c r="C146" t="s">
        <v>29</v>
      </c>
      <c r="D146" t="s">
        <v>1085</v>
      </c>
      <c r="E146" t="s">
        <v>358</v>
      </c>
      <c r="F146" t="s">
        <v>858</v>
      </c>
      <c r="G146" t="s">
        <v>859</v>
      </c>
      <c r="H146" t="str">
        <f>INDEX([1]妻子表!$A:$A,MATCH(F146,[1]妻子表!$B:$B,0))</f>
        <v>M000098W01</v>
      </c>
      <c r="I146" t="str">
        <f>VLOOKUP(H146,[1]妻子表!$A:$D,4,0)</f>
        <v>刘氏</v>
      </c>
      <c r="J146" t="s">
        <v>359</v>
      </c>
      <c r="K146" t="s">
        <v>673</v>
      </c>
      <c r="T146" s="2" t="s">
        <v>1174</v>
      </c>
      <c r="U146" t="s">
        <v>882</v>
      </c>
      <c r="AA146" t="s">
        <v>1175</v>
      </c>
    </row>
    <row r="147" spans="1:27" x14ac:dyDescent="0.25">
      <c r="A147" t="s">
        <v>1176</v>
      </c>
      <c r="B147" t="s">
        <v>1177</v>
      </c>
      <c r="C147" t="s">
        <v>29</v>
      </c>
      <c r="D147" t="s">
        <v>1085</v>
      </c>
      <c r="E147" t="s">
        <v>358</v>
      </c>
      <c r="F147" t="s">
        <v>858</v>
      </c>
      <c r="G147" t="s">
        <v>859</v>
      </c>
      <c r="H147" t="str">
        <f>INDEX([1]妻子表!$A:$A,MATCH(F147,[1]妻子表!$B:$B,0))</f>
        <v>M000098W01</v>
      </c>
      <c r="I147" t="str">
        <f>VLOOKUP(H147,[1]妻子表!$A:$D,4,0)</f>
        <v>刘氏</v>
      </c>
      <c r="J147" t="s">
        <v>359</v>
      </c>
      <c r="K147" t="s">
        <v>1178</v>
      </c>
      <c r="L147" t="s">
        <v>361</v>
      </c>
      <c r="M147" t="s">
        <v>1179</v>
      </c>
      <c r="N147" t="s">
        <v>1180</v>
      </c>
      <c r="O147" t="s">
        <v>1181</v>
      </c>
      <c r="P147" t="s">
        <v>108</v>
      </c>
      <c r="Q147" t="s">
        <v>1182</v>
      </c>
      <c r="R147" t="s">
        <v>1014</v>
      </c>
      <c r="S147" t="s">
        <v>1183</v>
      </c>
      <c r="T147" s="2" t="s">
        <v>1184</v>
      </c>
      <c r="U147" t="s">
        <v>174</v>
      </c>
      <c r="AA147" t="s">
        <v>1185</v>
      </c>
    </row>
    <row r="148" spans="1:27" x14ac:dyDescent="0.25">
      <c r="A148" t="s">
        <v>1186</v>
      </c>
      <c r="B148" t="s">
        <v>1187</v>
      </c>
      <c r="C148" t="s">
        <v>29</v>
      </c>
      <c r="D148" t="s">
        <v>1085</v>
      </c>
      <c r="E148" t="s">
        <v>358</v>
      </c>
      <c r="F148" t="s">
        <v>858</v>
      </c>
      <c r="G148" t="s">
        <v>859</v>
      </c>
      <c r="H148" t="str">
        <f>INDEX([1]妻子表!$A:$A,MATCH(F148,[1]妻子表!$B:$B,0))</f>
        <v>M000098W01</v>
      </c>
      <c r="I148" t="str">
        <f>VLOOKUP(H148,[1]妻子表!$A:$D,4,0)</f>
        <v>刘氏</v>
      </c>
      <c r="J148" t="s">
        <v>359</v>
      </c>
      <c r="AA148" t="s">
        <v>1188</v>
      </c>
    </row>
    <row r="149" spans="1:27" x14ac:dyDescent="0.25">
      <c r="A149" t="s">
        <v>1189</v>
      </c>
      <c r="B149" t="s">
        <v>1190</v>
      </c>
      <c r="C149" t="s">
        <v>29</v>
      </c>
      <c r="D149" t="s">
        <v>1085</v>
      </c>
      <c r="E149" t="s">
        <v>358</v>
      </c>
      <c r="F149" t="s">
        <v>867</v>
      </c>
      <c r="G149" t="s">
        <v>868</v>
      </c>
      <c r="H149" t="str">
        <f>INDEX([1]妻子表!$A:$A,MATCH(F149,[1]妻子表!$B:$B,0))</f>
        <v>M000099W01</v>
      </c>
      <c r="I149" t="str">
        <f>VLOOKUP(H149,[1]妻子表!$A:$D,4,0)</f>
        <v>刘氏</v>
      </c>
      <c r="J149" t="s">
        <v>359</v>
      </c>
      <c r="T149" s="2" t="s">
        <v>1191</v>
      </c>
      <c r="U149" t="s">
        <v>174</v>
      </c>
      <c r="AA149" t="s">
        <v>1192</v>
      </c>
    </row>
    <row r="150" spans="1:27" x14ac:dyDescent="0.25">
      <c r="A150" t="s">
        <v>1193</v>
      </c>
      <c r="B150" t="s">
        <v>1194</v>
      </c>
      <c r="C150" t="s">
        <v>29</v>
      </c>
      <c r="D150" t="s">
        <v>1085</v>
      </c>
      <c r="E150" t="s">
        <v>358</v>
      </c>
      <c r="F150" t="s">
        <v>879</v>
      </c>
      <c r="G150" t="s">
        <v>880</v>
      </c>
      <c r="H150" t="str">
        <f>INDEX([1]妻子表!$A:$A,MATCH(F150,[1]妻子表!$B:$B,0))</f>
        <v>M000100W01</v>
      </c>
      <c r="I150" t="str">
        <f>VLOOKUP(H150,[1]妻子表!$A:$D,4,0)</f>
        <v>肖氏</v>
      </c>
      <c r="J150" t="s">
        <v>359</v>
      </c>
      <c r="T150" s="2" t="s">
        <v>1195</v>
      </c>
      <c r="U150" t="s">
        <v>882</v>
      </c>
      <c r="AA150" t="s">
        <v>1196</v>
      </c>
    </row>
    <row r="151" spans="1:27" x14ac:dyDescent="0.25">
      <c r="A151" t="s">
        <v>1197</v>
      </c>
      <c r="B151" t="s">
        <v>1198</v>
      </c>
      <c r="C151" t="s">
        <v>29</v>
      </c>
      <c r="D151" t="s">
        <v>1085</v>
      </c>
      <c r="E151" t="s">
        <v>358</v>
      </c>
      <c r="F151" t="s">
        <v>879</v>
      </c>
      <c r="G151" t="s">
        <v>880</v>
      </c>
      <c r="H151" t="str">
        <f>INDEX([1]妻子表!$A:$A,MATCH(F151,[1]妻子表!$B:$B,0))</f>
        <v>M000100W01</v>
      </c>
      <c r="I151" t="str">
        <f>VLOOKUP(H151,[1]妻子表!$A:$D,4,0)</f>
        <v>肖氏</v>
      </c>
      <c r="J151" t="s">
        <v>359</v>
      </c>
      <c r="AA151" t="s">
        <v>1199</v>
      </c>
    </row>
    <row r="152" spans="1:27" x14ac:dyDescent="0.25">
      <c r="A152" t="s">
        <v>1200</v>
      </c>
      <c r="B152" t="s">
        <v>1201</v>
      </c>
      <c r="C152" t="s">
        <v>29</v>
      </c>
      <c r="D152" t="s">
        <v>1085</v>
      </c>
      <c r="E152" t="s">
        <v>358</v>
      </c>
      <c r="F152" t="s">
        <v>879</v>
      </c>
      <c r="G152" t="s">
        <v>880</v>
      </c>
      <c r="H152" t="str">
        <f>INDEX([1]妻子表!$A:$A,MATCH(F152,[1]妻子表!$B:$B,0))</f>
        <v>M000100W01</v>
      </c>
      <c r="I152" t="str">
        <f>VLOOKUP(H152,[1]妻子表!$A:$D,4,0)</f>
        <v>肖氏</v>
      </c>
      <c r="J152" t="s">
        <v>359</v>
      </c>
      <c r="AA152" t="s">
        <v>1202</v>
      </c>
    </row>
    <row r="153" spans="1:27" x14ac:dyDescent="0.25">
      <c r="A153" t="s">
        <v>1203</v>
      </c>
      <c r="B153" t="s">
        <v>1204</v>
      </c>
      <c r="C153" t="s">
        <v>29</v>
      </c>
      <c r="D153" t="s">
        <v>1085</v>
      </c>
      <c r="E153" t="s">
        <v>358</v>
      </c>
      <c r="F153" t="s">
        <v>884</v>
      </c>
      <c r="G153" t="s">
        <v>885</v>
      </c>
      <c r="H153" t="str">
        <f>INDEX([1]妻子表!$A:$A,MATCH(F153,[1]妻子表!$B:$B,0))</f>
        <v>M000101W01</v>
      </c>
      <c r="I153" t="str">
        <f>VLOOKUP(H153,[1]妻子表!$A:$D,4,0)</f>
        <v>刘氏</v>
      </c>
      <c r="J153" t="s">
        <v>359</v>
      </c>
      <c r="T153" s="2" t="s">
        <v>1205</v>
      </c>
      <c r="U153" t="s">
        <v>1206</v>
      </c>
      <c r="AA153" t="s">
        <v>1207</v>
      </c>
    </row>
    <row r="154" spans="1:27" x14ac:dyDescent="0.25">
      <c r="A154" t="s">
        <v>1208</v>
      </c>
      <c r="B154" t="s">
        <v>1209</v>
      </c>
      <c r="C154" t="s">
        <v>29</v>
      </c>
      <c r="D154" t="s">
        <v>1085</v>
      </c>
      <c r="E154" t="s">
        <v>358</v>
      </c>
      <c r="F154" t="s">
        <v>884</v>
      </c>
      <c r="G154" t="s">
        <v>885</v>
      </c>
      <c r="H154" t="str">
        <f>INDEX([1]妻子表!$A:$A,MATCH(F154,[1]妻子表!$B:$B,0))</f>
        <v>M000101W01</v>
      </c>
      <c r="I154" t="str">
        <f>VLOOKUP(H154,[1]妻子表!$A:$D,4,0)</f>
        <v>刘氏</v>
      </c>
      <c r="J154" t="s">
        <v>359</v>
      </c>
      <c r="T154" s="2" t="s">
        <v>1210</v>
      </c>
      <c r="U154" t="s">
        <v>174</v>
      </c>
      <c r="AA154" t="s">
        <v>1211</v>
      </c>
    </row>
    <row r="155" spans="1:27" x14ac:dyDescent="0.25">
      <c r="A155" t="s">
        <v>1212</v>
      </c>
      <c r="B155" t="s">
        <v>1213</v>
      </c>
      <c r="C155" t="s">
        <v>29</v>
      </c>
      <c r="D155" t="s">
        <v>1085</v>
      </c>
      <c r="E155" t="s">
        <v>358</v>
      </c>
      <c r="F155" t="s">
        <v>884</v>
      </c>
      <c r="G155" t="s">
        <v>885</v>
      </c>
      <c r="H155" t="str">
        <f>INDEX([1]妻子表!$A:$A,MATCH(F155,[1]妻子表!$B:$B,0))</f>
        <v>M000101W01</v>
      </c>
      <c r="I155" t="str">
        <f>VLOOKUP(H155,[1]妻子表!$A:$D,4,0)</f>
        <v>刘氏</v>
      </c>
      <c r="J155" t="s">
        <v>359</v>
      </c>
      <c r="K155" t="s">
        <v>1214</v>
      </c>
      <c r="L155" t="s">
        <v>1215</v>
      </c>
      <c r="M155" t="s">
        <v>1216</v>
      </c>
      <c r="N155" t="s">
        <v>667</v>
      </c>
      <c r="O155" t="s">
        <v>1217</v>
      </c>
      <c r="P155" t="s">
        <v>315</v>
      </c>
      <c r="Q155" t="s">
        <v>1218</v>
      </c>
      <c r="R155" t="s">
        <v>830</v>
      </c>
      <c r="S155" t="s">
        <v>1219</v>
      </c>
      <c r="T155" s="2" t="s">
        <v>1220</v>
      </c>
      <c r="U155" t="s">
        <v>1221</v>
      </c>
      <c r="AA155" t="s">
        <v>1222</v>
      </c>
    </row>
    <row r="156" spans="1:27" x14ac:dyDescent="0.25">
      <c r="A156" t="s">
        <v>1223</v>
      </c>
      <c r="B156" t="s">
        <v>1224</v>
      </c>
      <c r="C156" t="s">
        <v>29</v>
      </c>
      <c r="D156" t="s">
        <v>1085</v>
      </c>
      <c r="E156" t="s">
        <v>358</v>
      </c>
      <c r="F156" t="s">
        <v>884</v>
      </c>
      <c r="G156" t="s">
        <v>885</v>
      </c>
      <c r="H156" t="str">
        <f>INDEX([1]妻子表!$A:$A,MATCH(F156,[1]妻子表!$B:$B,0))</f>
        <v>M000101W01</v>
      </c>
      <c r="I156" t="str">
        <f>VLOOKUP(H156,[1]妻子表!$A:$D,4,0)</f>
        <v>刘氏</v>
      </c>
      <c r="J156" t="s">
        <v>359</v>
      </c>
      <c r="AA156" t="s">
        <v>489</v>
      </c>
    </row>
    <row r="157" spans="1:27" x14ac:dyDescent="0.25">
      <c r="A157" t="s">
        <v>1225</v>
      </c>
      <c r="B157" t="s">
        <v>1226</v>
      </c>
      <c r="C157" t="s">
        <v>29</v>
      </c>
      <c r="D157" t="s">
        <v>1085</v>
      </c>
      <c r="E157" t="s">
        <v>358</v>
      </c>
      <c r="F157" t="s">
        <v>905</v>
      </c>
      <c r="G157" t="s">
        <v>906</v>
      </c>
      <c r="H157" t="str">
        <f>INDEX([1]妻子表!$A:$A,MATCH(F157,[1]妻子表!$B:$B,0))</f>
        <v>M000103W01</v>
      </c>
      <c r="I157" t="str">
        <f>VLOOKUP(H157,[1]妻子表!$A:$D,4,0)</f>
        <v>彭氏</v>
      </c>
      <c r="J157" t="s">
        <v>359</v>
      </c>
      <c r="K157" t="s">
        <v>1227</v>
      </c>
      <c r="L157" t="s">
        <v>1228</v>
      </c>
      <c r="M157" t="s">
        <v>1229</v>
      </c>
      <c r="N157" t="s">
        <v>1230</v>
      </c>
      <c r="O157" t="s">
        <v>1231</v>
      </c>
      <c r="P157" t="s">
        <v>315</v>
      </c>
      <c r="Q157" t="s">
        <v>1232</v>
      </c>
      <c r="R157" t="s">
        <v>1233</v>
      </c>
      <c r="S157" t="s">
        <v>1234</v>
      </c>
      <c r="T157" s="2" t="s">
        <v>1235</v>
      </c>
      <c r="U157" t="s">
        <v>174</v>
      </c>
      <c r="AA157" t="s">
        <v>1236</v>
      </c>
    </row>
    <row r="158" spans="1:27" x14ac:dyDescent="0.25">
      <c r="A158" t="s">
        <v>1237</v>
      </c>
      <c r="B158" t="s">
        <v>1238</v>
      </c>
      <c r="C158" t="s">
        <v>29</v>
      </c>
      <c r="D158" t="s">
        <v>1085</v>
      </c>
      <c r="E158" t="s">
        <v>358</v>
      </c>
      <c r="F158" t="s">
        <v>916</v>
      </c>
      <c r="G158" t="s">
        <v>917</v>
      </c>
      <c r="H158" t="str">
        <f>INDEX([1]妻子表!$A:$A,MATCH(F158,[1]妻子表!$B:$B,0))</f>
        <v>M000104W01</v>
      </c>
      <c r="I158" t="str">
        <f>VLOOKUP(H158,[1]妻子表!$A:$D,4,0)</f>
        <v>颜氏</v>
      </c>
      <c r="J158" t="s">
        <v>359</v>
      </c>
      <c r="K158" t="s">
        <v>1138</v>
      </c>
      <c r="L158" t="s">
        <v>725</v>
      </c>
      <c r="M158" t="s">
        <v>1239</v>
      </c>
      <c r="N158" t="s">
        <v>558</v>
      </c>
      <c r="O158" t="s">
        <v>1240</v>
      </c>
      <c r="P158" t="s">
        <v>407</v>
      </c>
      <c r="Q158" t="s">
        <v>1241</v>
      </c>
      <c r="R158" t="s">
        <v>901</v>
      </c>
      <c r="S158" t="s">
        <v>1242</v>
      </c>
      <c r="T158" s="2" t="s">
        <v>1243</v>
      </c>
      <c r="U158" t="s">
        <v>942</v>
      </c>
      <c r="AA158" t="s">
        <v>1244</v>
      </c>
    </row>
    <row r="159" spans="1:27" x14ac:dyDescent="0.25">
      <c r="A159" t="s">
        <v>1245</v>
      </c>
      <c r="B159" t="s">
        <v>1246</v>
      </c>
      <c r="C159" t="s">
        <v>29</v>
      </c>
      <c r="D159" t="s">
        <v>1085</v>
      </c>
      <c r="E159" t="s">
        <v>358</v>
      </c>
      <c r="F159" t="s">
        <v>916</v>
      </c>
      <c r="G159" t="s">
        <v>917</v>
      </c>
      <c r="H159" t="str">
        <f>INDEX([1]妻子表!$A:$A,MATCH(F159,[1]妻子表!$B:$B,0))</f>
        <v>M000104W01</v>
      </c>
      <c r="I159" t="str">
        <f>VLOOKUP(H159,[1]妻子表!$A:$D,4,0)</f>
        <v>颜氏</v>
      </c>
      <c r="J159" t="s">
        <v>359</v>
      </c>
      <c r="K159" t="s">
        <v>1247</v>
      </c>
      <c r="L159" t="s">
        <v>1248</v>
      </c>
      <c r="M159" t="s">
        <v>1249</v>
      </c>
      <c r="N159" t="s">
        <v>575</v>
      </c>
      <c r="O159" t="s">
        <v>1250</v>
      </c>
      <c r="P159" t="s">
        <v>407</v>
      </c>
      <c r="Q159" t="s">
        <v>1251</v>
      </c>
      <c r="R159" t="s">
        <v>1252</v>
      </c>
      <c r="S159" t="s">
        <v>1253</v>
      </c>
      <c r="T159" s="2" t="s">
        <v>1254</v>
      </c>
      <c r="U159" t="s">
        <v>189</v>
      </c>
      <c r="AA159" t="s">
        <v>1255</v>
      </c>
    </row>
    <row r="160" spans="1:27" x14ac:dyDescent="0.25">
      <c r="A160" t="s">
        <v>1256</v>
      </c>
      <c r="B160" t="s">
        <v>1257</v>
      </c>
      <c r="C160" t="s">
        <v>29</v>
      </c>
      <c r="D160" t="s">
        <v>1085</v>
      </c>
      <c r="E160" t="s">
        <v>358</v>
      </c>
      <c r="F160" t="s">
        <v>916</v>
      </c>
      <c r="G160" t="s">
        <v>917</v>
      </c>
      <c r="H160" t="str">
        <f>INDEX([1]妻子表!$A:$A,MATCH(F160,[1]妻子表!$B:$B,0))</f>
        <v>M000104W01</v>
      </c>
      <c r="I160" t="str">
        <f>VLOOKUP(H160,[1]妻子表!$A:$D,4,0)</f>
        <v>颜氏</v>
      </c>
      <c r="J160" t="s">
        <v>359</v>
      </c>
      <c r="K160" t="s">
        <v>950</v>
      </c>
      <c r="T160" s="2" t="s">
        <v>1258</v>
      </c>
      <c r="U160" t="s">
        <v>174</v>
      </c>
      <c r="AA160" t="s">
        <v>1259</v>
      </c>
    </row>
    <row r="161" spans="1:27" x14ac:dyDescent="0.25">
      <c r="A161" t="s">
        <v>1260</v>
      </c>
      <c r="B161" t="s">
        <v>1261</v>
      </c>
      <c r="C161" t="s">
        <v>29</v>
      </c>
      <c r="D161" t="s">
        <v>1085</v>
      </c>
      <c r="E161" t="s">
        <v>358</v>
      </c>
      <c r="F161" t="s">
        <v>916</v>
      </c>
      <c r="G161" t="s">
        <v>917</v>
      </c>
      <c r="H161" t="str">
        <f>INDEX([1]妻子表!$A:$A,MATCH(F161,[1]妻子表!$B:$B,0))</f>
        <v>M000104W01</v>
      </c>
      <c r="I161" t="str">
        <f>VLOOKUP(H161,[1]妻子表!$A:$D,4,0)</f>
        <v>颜氏</v>
      </c>
      <c r="J161" t="s">
        <v>359</v>
      </c>
      <c r="L161" t="s">
        <v>327</v>
      </c>
      <c r="M161" t="s">
        <v>1262</v>
      </c>
      <c r="N161" t="s">
        <v>1263</v>
      </c>
      <c r="O161" t="s">
        <v>1264</v>
      </c>
      <c r="P161" t="s">
        <v>601</v>
      </c>
      <c r="Q161" t="s">
        <v>1265</v>
      </c>
      <c r="R161" t="s">
        <v>1266</v>
      </c>
      <c r="S161" t="s">
        <v>1267</v>
      </c>
      <c r="AA161" t="s">
        <v>1268</v>
      </c>
    </row>
    <row r="162" spans="1:27" x14ac:dyDescent="0.25">
      <c r="A162" t="s">
        <v>1269</v>
      </c>
      <c r="B162" t="s">
        <v>1270</v>
      </c>
      <c r="C162" t="s">
        <v>29</v>
      </c>
      <c r="D162" t="s">
        <v>1085</v>
      </c>
      <c r="E162" t="s">
        <v>358</v>
      </c>
      <c r="F162" t="s">
        <v>921</v>
      </c>
      <c r="G162" t="s">
        <v>922</v>
      </c>
      <c r="H162" t="str">
        <f>INDEX([1]妻子表!$A:$A,MATCH(F162,[1]妻子表!$B:$B,0))</f>
        <v>M000105W01</v>
      </c>
      <c r="I162" t="str">
        <f>VLOOKUP(H162,[1]妻子表!$A:$D,4,0)</f>
        <v>王氏</v>
      </c>
      <c r="J162" t="s">
        <v>359</v>
      </c>
      <c r="K162" t="s">
        <v>1042</v>
      </c>
      <c r="L162" t="s">
        <v>1271</v>
      </c>
      <c r="M162" t="s">
        <v>1272</v>
      </c>
      <c r="N162" t="s">
        <v>1125</v>
      </c>
      <c r="O162" t="s">
        <v>1273</v>
      </c>
      <c r="P162" t="s">
        <v>458</v>
      </c>
      <c r="Q162" t="s">
        <v>1274</v>
      </c>
      <c r="R162" t="s">
        <v>1275</v>
      </c>
      <c r="S162" t="s">
        <v>1276</v>
      </c>
      <c r="T162" s="2" t="s">
        <v>1277</v>
      </c>
      <c r="U162" t="s">
        <v>744</v>
      </c>
      <c r="AA162" t="s">
        <v>1278</v>
      </c>
    </row>
    <row r="163" spans="1:27" x14ac:dyDescent="0.25">
      <c r="A163" t="s">
        <v>1279</v>
      </c>
      <c r="B163" t="s">
        <v>1280</v>
      </c>
      <c r="C163" t="s">
        <v>29</v>
      </c>
      <c r="D163" t="s">
        <v>1085</v>
      </c>
      <c r="E163" t="s">
        <v>358</v>
      </c>
      <c r="F163" t="s">
        <v>921</v>
      </c>
      <c r="G163" t="s">
        <v>922</v>
      </c>
      <c r="H163" t="str">
        <f>INDEX([1]妻子表!$A:$A,MATCH(F163,[1]妻子表!$B:$B,0))</f>
        <v>M000105W01</v>
      </c>
      <c r="I163" t="str">
        <f>VLOOKUP(H163,[1]妻子表!$A:$D,4,0)</f>
        <v>王氏</v>
      </c>
      <c r="J163" t="s">
        <v>359</v>
      </c>
      <c r="K163" t="s">
        <v>950</v>
      </c>
      <c r="L163" t="s">
        <v>403</v>
      </c>
      <c r="M163" t="s">
        <v>1281</v>
      </c>
      <c r="N163" t="s">
        <v>1096</v>
      </c>
      <c r="O163" t="s">
        <v>1282</v>
      </c>
      <c r="P163" t="s">
        <v>240</v>
      </c>
      <c r="Q163" t="s">
        <v>1283</v>
      </c>
      <c r="R163" t="s">
        <v>1284</v>
      </c>
      <c r="S163" t="s">
        <v>1285</v>
      </c>
      <c r="T163" s="2" t="s">
        <v>1286</v>
      </c>
      <c r="U163" t="s">
        <v>882</v>
      </c>
      <c r="AA163" t="s">
        <v>1287</v>
      </c>
    </row>
    <row r="164" spans="1:27" x14ac:dyDescent="0.25">
      <c r="A164" t="s">
        <v>1288</v>
      </c>
      <c r="B164" t="s">
        <v>1289</v>
      </c>
      <c r="C164" t="s">
        <v>29</v>
      </c>
      <c r="D164" t="s">
        <v>1085</v>
      </c>
      <c r="E164" t="s">
        <v>358</v>
      </c>
      <c r="F164" t="s">
        <v>921</v>
      </c>
      <c r="G164" t="s">
        <v>922</v>
      </c>
      <c r="H164" t="str">
        <f>INDEX([1]妻子表!$A:$A,MATCH(F164,[1]妻子表!$B:$B,0))</f>
        <v>M000105W01</v>
      </c>
      <c r="I164" t="str">
        <f>VLOOKUP(H164,[1]妻子表!$A:$D,4,0)</f>
        <v>王氏</v>
      </c>
      <c r="J164" t="s">
        <v>359</v>
      </c>
      <c r="K164" t="s">
        <v>1290</v>
      </c>
      <c r="L164" t="s">
        <v>220</v>
      </c>
      <c r="M164" t="s">
        <v>1291</v>
      </c>
      <c r="N164" t="s">
        <v>1292</v>
      </c>
      <c r="O164" t="s">
        <v>1293</v>
      </c>
      <c r="P164" t="s">
        <v>169</v>
      </c>
      <c r="Q164" t="s">
        <v>1294</v>
      </c>
      <c r="R164" t="s">
        <v>1295</v>
      </c>
      <c r="S164" t="s">
        <v>1296</v>
      </c>
      <c r="T164" s="2" t="s">
        <v>1297</v>
      </c>
      <c r="U164" t="s">
        <v>215</v>
      </c>
      <c r="AA164" t="s">
        <v>1298</v>
      </c>
    </row>
    <row r="165" spans="1:27" x14ac:dyDescent="0.25">
      <c r="A165" t="s">
        <v>1299</v>
      </c>
      <c r="B165" t="s">
        <v>1300</v>
      </c>
      <c r="C165" t="s">
        <v>29</v>
      </c>
      <c r="D165" t="s">
        <v>1085</v>
      </c>
      <c r="E165" t="s">
        <v>358</v>
      </c>
      <c r="F165" t="s">
        <v>931</v>
      </c>
      <c r="G165" t="s">
        <v>932</v>
      </c>
      <c r="H165" t="str">
        <f>INDEX([1]妻子表!$A:$A,MATCH(F165,[1]妻子表!$B:$B,0))</f>
        <v>M000106W01</v>
      </c>
      <c r="I165" t="str">
        <f>VLOOKUP(H165,[1]妻子表!$A:$D,4,0)</f>
        <v>刘氏</v>
      </c>
      <c r="J165" t="s">
        <v>359</v>
      </c>
      <c r="K165" t="s">
        <v>950</v>
      </c>
      <c r="T165" s="2" t="s">
        <v>1301</v>
      </c>
      <c r="U165" t="s">
        <v>245</v>
      </c>
      <c r="AA165" t="s">
        <v>1302</v>
      </c>
    </row>
    <row r="166" spans="1:27" x14ac:dyDescent="0.25">
      <c r="A166" t="s">
        <v>1303</v>
      </c>
      <c r="B166" t="s">
        <v>1304</v>
      </c>
      <c r="C166" t="s">
        <v>29</v>
      </c>
      <c r="D166" t="s">
        <v>1085</v>
      </c>
      <c r="E166" t="s">
        <v>358</v>
      </c>
      <c r="F166" t="s">
        <v>935</v>
      </c>
      <c r="G166" t="s">
        <v>936</v>
      </c>
      <c r="H166" t="str">
        <f>INDEX([1]妻子表!$A:$A,MATCH(F166,[1]妻子表!$B:$B,0))</f>
        <v>M000107W01</v>
      </c>
      <c r="I166" t="str">
        <f>VLOOKUP(H166,[1]妻子表!$A:$D,4,0)</f>
        <v>杨氏</v>
      </c>
      <c r="J166" t="s">
        <v>359</v>
      </c>
      <c r="K166" t="s">
        <v>1305</v>
      </c>
      <c r="M166" t="s">
        <v>1306</v>
      </c>
      <c r="N166" t="s">
        <v>1079</v>
      </c>
      <c r="O166" t="s">
        <v>1307</v>
      </c>
      <c r="P166" t="s">
        <v>497</v>
      </c>
      <c r="T166" s="2" t="s">
        <v>1308</v>
      </c>
      <c r="U166" t="s">
        <v>942</v>
      </c>
      <c r="AA166" t="s">
        <v>1309</v>
      </c>
    </row>
    <row r="167" spans="1:27" x14ac:dyDescent="0.25">
      <c r="A167" t="s">
        <v>1310</v>
      </c>
      <c r="B167" t="s">
        <v>1311</v>
      </c>
      <c r="C167" t="s">
        <v>29</v>
      </c>
      <c r="D167" t="s">
        <v>1085</v>
      </c>
      <c r="E167" t="s">
        <v>358</v>
      </c>
      <c r="F167" t="s">
        <v>944</v>
      </c>
      <c r="G167" t="s">
        <v>945</v>
      </c>
      <c r="H167" t="str">
        <f>INDEX([1]妻子表!$A:$A,MATCH(F167,[1]妻子表!$B:$B,0))</f>
        <v>M000108W01</v>
      </c>
      <c r="I167" t="str">
        <f>VLOOKUP(H167,[1]妻子表!$A:$D,4,0)</f>
        <v>刘氏</v>
      </c>
      <c r="J167" t="s">
        <v>359</v>
      </c>
      <c r="T167" s="2" t="s">
        <v>1312</v>
      </c>
      <c r="U167" t="s">
        <v>777</v>
      </c>
      <c r="AA167" t="s">
        <v>1313</v>
      </c>
    </row>
    <row r="168" spans="1:27" ht="31.5" customHeight="1" x14ac:dyDescent="0.25">
      <c r="A168" t="s">
        <v>1314</v>
      </c>
      <c r="B168" t="s">
        <v>1315</v>
      </c>
      <c r="C168" t="s">
        <v>29</v>
      </c>
      <c r="D168" t="s">
        <v>1085</v>
      </c>
      <c r="E168" t="s">
        <v>358</v>
      </c>
      <c r="F168" t="s">
        <v>948</v>
      </c>
      <c r="G168" t="s">
        <v>949</v>
      </c>
      <c r="H168" t="str">
        <f>INDEX([1]妻子表!$A:$A,MATCH(F168,[1]妻子表!$B:$B,0))</f>
        <v>M000109W01</v>
      </c>
      <c r="I168" t="str">
        <f>VLOOKUP(H168,[1]妻子表!$A:$D,4,0)</f>
        <v>项氏</v>
      </c>
      <c r="J168" t="s">
        <v>359</v>
      </c>
      <c r="K168" t="s">
        <v>1316</v>
      </c>
      <c r="L168" t="s">
        <v>1317</v>
      </c>
      <c r="M168" t="s">
        <v>1318</v>
      </c>
      <c r="N168" t="s">
        <v>751</v>
      </c>
      <c r="O168" t="s">
        <v>1319</v>
      </c>
      <c r="P168" t="s">
        <v>108</v>
      </c>
      <c r="Q168" t="s">
        <v>1320</v>
      </c>
      <c r="R168" t="s">
        <v>1321</v>
      </c>
      <c r="S168" t="s">
        <v>1322</v>
      </c>
      <c r="T168" s="2" t="s">
        <v>1323</v>
      </c>
      <c r="U168" t="s">
        <v>1131</v>
      </c>
      <c r="AA168" t="s">
        <v>1324</v>
      </c>
    </row>
    <row r="169" spans="1:27" ht="47.25" customHeight="1" x14ac:dyDescent="0.25">
      <c r="A169" t="s">
        <v>1325</v>
      </c>
      <c r="B169" t="s">
        <v>1326</v>
      </c>
      <c r="C169" t="s">
        <v>29</v>
      </c>
      <c r="D169" t="s">
        <v>1085</v>
      </c>
      <c r="E169" t="s">
        <v>358</v>
      </c>
      <c r="F169" t="s">
        <v>954</v>
      </c>
      <c r="G169" t="s">
        <v>955</v>
      </c>
      <c r="H169" t="str">
        <f>INDEX([1]妻子表!$A:$A,MATCH(F169,[1]妻子表!$B:$B,0))</f>
        <v>M000110W01</v>
      </c>
      <c r="I169" t="str">
        <f>VLOOKUP(H169,[1]妻子表!$A:$D,4,0)</f>
        <v>李氏</v>
      </c>
      <c r="J169" t="s">
        <v>359</v>
      </c>
      <c r="K169" t="s">
        <v>1327</v>
      </c>
      <c r="L169" t="s">
        <v>1328</v>
      </c>
      <c r="M169" t="s">
        <v>1329</v>
      </c>
      <c r="N169" t="s">
        <v>575</v>
      </c>
      <c r="O169" t="s">
        <v>1330</v>
      </c>
      <c r="P169" t="s">
        <v>407</v>
      </c>
      <c r="Q169" t="s">
        <v>1331</v>
      </c>
      <c r="R169" t="s">
        <v>1128</v>
      </c>
      <c r="S169" t="s">
        <v>1332</v>
      </c>
      <c r="T169" s="2" t="s">
        <v>1333</v>
      </c>
      <c r="U169" t="s">
        <v>1334</v>
      </c>
      <c r="AA169" t="s">
        <v>1335</v>
      </c>
    </row>
    <row r="170" spans="1:27" x14ac:dyDescent="0.25">
      <c r="A170" t="s">
        <v>1336</v>
      </c>
      <c r="B170" t="s">
        <v>1337</v>
      </c>
      <c r="C170" t="s">
        <v>29</v>
      </c>
      <c r="D170" t="s">
        <v>1085</v>
      </c>
      <c r="E170" t="s">
        <v>358</v>
      </c>
      <c r="F170" t="s">
        <v>954</v>
      </c>
      <c r="G170" t="s">
        <v>955</v>
      </c>
      <c r="H170" t="str">
        <f>INDEX([1]妻子表!$A:$A,MATCH(F170,[1]妻子表!$B:$B,0))</f>
        <v>M000110W01</v>
      </c>
      <c r="I170" t="str">
        <f>VLOOKUP(H170,[1]妻子表!$A:$D,4,0)</f>
        <v>李氏</v>
      </c>
      <c r="J170" t="s">
        <v>359</v>
      </c>
      <c r="K170" t="s">
        <v>1338</v>
      </c>
      <c r="L170" t="s">
        <v>696</v>
      </c>
      <c r="M170" t="s">
        <v>1339</v>
      </c>
      <c r="N170" t="s">
        <v>1340</v>
      </c>
      <c r="O170" t="s">
        <v>1341</v>
      </c>
      <c r="P170" t="s">
        <v>224</v>
      </c>
      <c r="Q170" t="s">
        <v>1342</v>
      </c>
      <c r="R170" t="s">
        <v>1343</v>
      </c>
      <c r="S170" t="s">
        <v>1344</v>
      </c>
      <c r="T170" s="2" t="s">
        <v>1345</v>
      </c>
      <c r="U170" t="s">
        <v>174</v>
      </c>
      <c r="AA170" t="s">
        <v>1346</v>
      </c>
    </row>
    <row r="171" spans="1:27" x14ac:dyDescent="0.25">
      <c r="A171" t="s">
        <v>1347</v>
      </c>
      <c r="B171" t="s">
        <v>1348</v>
      </c>
      <c r="C171" t="s">
        <v>29</v>
      </c>
      <c r="D171" t="s">
        <v>1085</v>
      </c>
      <c r="E171" t="s">
        <v>358</v>
      </c>
      <c r="F171" t="s">
        <v>954</v>
      </c>
      <c r="G171" t="s">
        <v>955</v>
      </c>
      <c r="H171" t="str">
        <f>INDEX([1]妻子表!$A:$A,MATCH(F171,[1]妻子表!$B:$B,0))</f>
        <v>M000110W01</v>
      </c>
      <c r="I171" t="str">
        <f>VLOOKUP(H171,[1]妻子表!$A:$D,4,0)</f>
        <v>李氏</v>
      </c>
      <c r="J171" t="s">
        <v>359</v>
      </c>
      <c r="K171" t="s">
        <v>1349</v>
      </c>
      <c r="L171" t="s">
        <v>1317</v>
      </c>
      <c r="M171" t="s">
        <v>1350</v>
      </c>
      <c r="N171" t="s">
        <v>1351</v>
      </c>
      <c r="O171" t="s">
        <v>1352</v>
      </c>
      <c r="P171" t="s">
        <v>224</v>
      </c>
      <c r="Q171" t="s">
        <v>1353</v>
      </c>
      <c r="R171" t="s">
        <v>1128</v>
      </c>
      <c r="S171" t="s">
        <v>1354</v>
      </c>
      <c r="T171" s="2" t="s">
        <v>1355</v>
      </c>
      <c r="U171" t="s">
        <v>942</v>
      </c>
      <c r="AA171" t="s">
        <v>1356</v>
      </c>
    </row>
    <row r="172" spans="1:27" x14ac:dyDescent="0.25">
      <c r="A172" t="s">
        <v>1357</v>
      </c>
      <c r="B172" t="s">
        <v>1358</v>
      </c>
      <c r="C172" t="s">
        <v>29</v>
      </c>
      <c r="D172" t="s">
        <v>1085</v>
      </c>
      <c r="E172" t="s">
        <v>358</v>
      </c>
      <c r="F172" t="s">
        <v>954</v>
      </c>
      <c r="G172" t="s">
        <v>955</v>
      </c>
      <c r="H172" t="str">
        <f>INDEX([1]妻子表!$A:$A,MATCH(F172,[1]妻子表!$B:$B,0))</f>
        <v>M000110W01</v>
      </c>
      <c r="I172" t="str">
        <f>VLOOKUP(H172,[1]妻子表!$A:$D,4,0)</f>
        <v>李氏</v>
      </c>
      <c r="J172" t="s">
        <v>359</v>
      </c>
      <c r="M172" t="s">
        <v>1359</v>
      </c>
      <c r="N172" t="s">
        <v>751</v>
      </c>
      <c r="O172" t="s">
        <v>1360</v>
      </c>
      <c r="P172" t="s">
        <v>108</v>
      </c>
      <c r="T172" s="2" t="s">
        <v>1361</v>
      </c>
      <c r="U172" t="s">
        <v>95</v>
      </c>
      <c r="AA172" t="s">
        <v>1362</v>
      </c>
    </row>
    <row r="173" spans="1:27" x14ac:dyDescent="0.25">
      <c r="A173" t="s">
        <v>1363</v>
      </c>
      <c r="B173" t="s">
        <v>1364</v>
      </c>
      <c r="C173" t="s">
        <v>29</v>
      </c>
      <c r="D173" t="s">
        <v>1085</v>
      </c>
      <c r="E173" t="s">
        <v>358</v>
      </c>
      <c r="F173" t="s">
        <v>966</v>
      </c>
      <c r="G173" t="s">
        <v>967</v>
      </c>
      <c r="H173" t="str">
        <f>INDEX([1]妻子表!$A:$A,MATCH(F173,[1]妻子表!$B:$B,0))</f>
        <v>M000111W01</v>
      </c>
      <c r="I173" t="str">
        <f>VLOOKUP(H173,[1]妻子表!$A:$D,4,0)</f>
        <v>张氏</v>
      </c>
      <c r="J173" t="s">
        <v>359</v>
      </c>
      <c r="K173" t="s">
        <v>1365</v>
      </c>
      <c r="M173" t="s">
        <v>1366</v>
      </c>
      <c r="N173" t="s">
        <v>1367</v>
      </c>
      <c r="O173" t="s">
        <v>1368</v>
      </c>
      <c r="P173" t="s">
        <v>184</v>
      </c>
      <c r="T173" s="2" t="s">
        <v>1369</v>
      </c>
      <c r="U173" t="s">
        <v>882</v>
      </c>
      <c r="AA173" t="s">
        <v>1370</v>
      </c>
    </row>
    <row r="174" spans="1:27" x14ac:dyDescent="0.25">
      <c r="A174" t="s">
        <v>1371</v>
      </c>
      <c r="B174" t="s">
        <v>1372</v>
      </c>
      <c r="C174" t="s">
        <v>29</v>
      </c>
      <c r="D174" t="s">
        <v>1085</v>
      </c>
      <c r="E174" t="s">
        <v>358</v>
      </c>
      <c r="F174" t="s">
        <v>977</v>
      </c>
      <c r="G174" t="s">
        <v>978</v>
      </c>
      <c r="H174" t="str">
        <f>INDEX([1]妻子表!$A:$A,MATCH(F174,[1]妻子表!$B:$B,0))</f>
        <v>M000112W01</v>
      </c>
      <c r="I174" t="str">
        <f>VLOOKUP(H174,[1]妻子表!$A:$D,4,0)</f>
        <v>肖氏</v>
      </c>
      <c r="J174" t="s">
        <v>359</v>
      </c>
      <c r="K174" t="s">
        <v>1373</v>
      </c>
      <c r="L174" t="s">
        <v>725</v>
      </c>
      <c r="M174" t="s">
        <v>1374</v>
      </c>
      <c r="N174" t="s">
        <v>1044</v>
      </c>
      <c r="O174" t="s">
        <v>1375</v>
      </c>
      <c r="P174" t="s">
        <v>497</v>
      </c>
      <c r="Q174" t="s">
        <v>1376</v>
      </c>
      <c r="R174" t="s">
        <v>1377</v>
      </c>
      <c r="S174" t="s">
        <v>1378</v>
      </c>
      <c r="T174" s="2" t="s">
        <v>1379</v>
      </c>
      <c r="U174" t="s">
        <v>306</v>
      </c>
      <c r="AA174" t="s">
        <v>1380</v>
      </c>
    </row>
    <row r="175" spans="1:27" x14ac:dyDescent="0.25">
      <c r="A175" t="s">
        <v>1381</v>
      </c>
      <c r="B175" t="s">
        <v>1382</v>
      </c>
      <c r="C175" t="s">
        <v>29</v>
      </c>
      <c r="D175" t="s">
        <v>1085</v>
      </c>
      <c r="E175" t="s">
        <v>358</v>
      </c>
      <c r="F175" t="s">
        <v>988</v>
      </c>
      <c r="G175" t="s">
        <v>989</v>
      </c>
      <c r="I175" t="e">
        <f>VLOOKUP(H175,[1]妻子表!$A:$D,4,0)</f>
        <v>#N/A</v>
      </c>
      <c r="J175" t="s">
        <v>359</v>
      </c>
      <c r="AA175" t="s">
        <v>1383</v>
      </c>
    </row>
    <row r="176" spans="1:27" x14ac:dyDescent="0.25">
      <c r="A176" t="s">
        <v>1384</v>
      </c>
      <c r="B176" t="s">
        <v>1385</v>
      </c>
      <c r="C176" t="s">
        <v>29</v>
      </c>
      <c r="D176" t="s">
        <v>1085</v>
      </c>
      <c r="E176" t="s">
        <v>358</v>
      </c>
      <c r="F176" t="s">
        <v>996</v>
      </c>
      <c r="G176" t="s">
        <v>997</v>
      </c>
      <c r="H176" t="str">
        <f>INDEX([1]妻子表!$A:$A,MATCH(F176,[1]妻子表!$B:$B,0))</f>
        <v>M000114W01</v>
      </c>
      <c r="I176" t="str">
        <f>VLOOKUP(H176,[1]妻子表!$A:$D,4,0)</f>
        <v>刘氏</v>
      </c>
      <c r="J176" t="s">
        <v>359</v>
      </c>
      <c r="AA176" t="s">
        <v>1386</v>
      </c>
    </row>
    <row r="177" spans="1:27" ht="31.5" customHeight="1" x14ac:dyDescent="0.25">
      <c r="A177" t="s">
        <v>1387</v>
      </c>
      <c r="B177" t="s">
        <v>1388</v>
      </c>
      <c r="C177" t="s">
        <v>29</v>
      </c>
      <c r="D177" t="s">
        <v>1085</v>
      </c>
      <c r="E177" t="s">
        <v>358</v>
      </c>
      <c r="F177" t="s">
        <v>996</v>
      </c>
      <c r="G177" t="s">
        <v>997</v>
      </c>
      <c r="H177" t="str">
        <f>INDEX([1]妻子表!$A:$A,MATCH(F177,[1]妻子表!$B:$B,0))</f>
        <v>M000114W01</v>
      </c>
      <c r="I177" t="str">
        <f>VLOOKUP(H177,[1]妻子表!$A:$D,4,0)</f>
        <v>刘氏</v>
      </c>
      <c r="J177" t="s">
        <v>359</v>
      </c>
      <c r="K177" t="s">
        <v>1138</v>
      </c>
      <c r="L177" t="s">
        <v>1328</v>
      </c>
      <c r="M177" t="s">
        <v>1389</v>
      </c>
      <c r="N177" t="s">
        <v>1390</v>
      </c>
      <c r="O177" t="s">
        <v>1391</v>
      </c>
      <c r="P177" t="s">
        <v>224</v>
      </c>
      <c r="Q177" t="s">
        <v>1392</v>
      </c>
      <c r="R177" t="s">
        <v>1295</v>
      </c>
      <c r="S177" t="s">
        <v>1393</v>
      </c>
      <c r="T177" s="2" t="s">
        <v>1394</v>
      </c>
      <c r="U177" t="s">
        <v>1395</v>
      </c>
      <c r="AA177" t="s">
        <v>1396</v>
      </c>
    </row>
    <row r="178" spans="1:27" x14ac:dyDescent="0.25">
      <c r="A178" t="s">
        <v>1397</v>
      </c>
      <c r="B178" t="s">
        <v>1398</v>
      </c>
      <c r="C178" t="s">
        <v>29</v>
      </c>
      <c r="D178" t="s">
        <v>1085</v>
      </c>
      <c r="E178" t="s">
        <v>358</v>
      </c>
      <c r="F178" t="s">
        <v>1018</v>
      </c>
      <c r="G178" t="s">
        <v>1019</v>
      </c>
      <c r="H178" t="str">
        <f>INDEX([1]妻子表!$A:$A,MATCH(F178,[1]妻子表!$B:$B,0))</f>
        <v>M000116W01</v>
      </c>
      <c r="I178" t="str">
        <f>VLOOKUP(H178,[1]妻子表!$A:$D,4,0)</f>
        <v>刘氏</v>
      </c>
      <c r="J178" t="s">
        <v>359</v>
      </c>
      <c r="K178" t="s">
        <v>1399</v>
      </c>
      <c r="L178" t="s">
        <v>1248</v>
      </c>
      <c r="M178" t="s">
        <v>1400</v>
      </c>
      <c r="N178" t="s">
        <v>1401</v>
      </c>
      <c r="O178" t="s">
        <v>1402</v>
      </c>
      <c r="P178" t="s">
        <v>458</v>
      </c>
      <c r="Q178" t="s">
        <v>1403</v>
      </c>
      <c r="R178" t="s">
        <v>1159</v>
      </c>
      <c r="S178" t="s">
        <v>1404</v>
      </c>
      <c r="T178" s="2" t="s">
        <v>1405</v>
      </c>
      <c r="U178" t="s">
        <v>245</v>
      </c>
      <c r="AA178" t="s">
        <v>1406</v>
      </c>
    </row>
    <row r="179" spans="1:27" x14ac:dyDescent="0.25">
      <c r="A179" t="s">
        <v>1407</v>
      </c>
      <c r="B179" t="s">
        <v>1408</v>
      </c>
      <c r="C179" t="s">
        <v>29</v>
      </c>
      <c r="D179" t="s">
        <v>1085</v>
      </c>
      <c r="E179" t="s">
        <v>358</v>
      </c>
      <c r="F179" t="s">
        <v>1018</v>
      </c>
      <c r="G179" t="s">
        <v>1019</v>
      </c>
      <c r="H179" t="str">
        <f>INDEX([1]妻子表!$A:$A,MATCH(F179,[1]妻子表!$B:$B,0))</f>
        <v>M000116W01</v>
      </c>
      <c r="I179" t="str">
        <f>VLOOKUP(H179,[1]妻子表!$A:$D,4,0)</f>
        <v>刘氏</v>
      </c>
      <c r="J179" t="s">
        <v>359</v>
      </c>
      <c r="AA179" t="s">
        <v>1409</v>
      </c>
    </row>
    <row r="180" spans="1:27" x14ac:dyDescent="0.25">
      <c r="A180" t="s">
        <v>1410</v>
      </c>
      <c r="B180" t="s">
        <v>1411</v>
      </c>
      <c r="C180" t="s">
        <v>29</v>
      </c>
      <c r="D180" t="s">
        <v>1085</v>
      </c>
      <c r="E180" t="s">
        <v>358</v>
      </c>
      <c r="F180" t="s">
        <v>1018</v>
      </c>
      <c r="G180" t="s">
        <v>1019</v>
      </c>
      <c r="H180" t="str">
        <f>INDEX([1]妻子表!$A:$A,MATCH(F180,[1]妻子表!$B:$B,0))</f>
        <v>M000116W01</v>
      </c>
      <c r="I180" t="str">
        <f>VLOOKUP(H180,[1]妻子表!$A:$D,4,0)</f>
        <v>刘氏</v>
      </c>
      <c r="J180" t="s">
        <v>359</v>
      </c>
      <c r="AA180" t="s">
        <v>1412</v>
      </c>
    </row>
    <row r="181" spans="1:27" ht="31.5" customHeight="1" x14ac:dyDescent="0.25">
      <c r="A181" t="s">
        <v>1413</v>
      </c>
      <c r="B181" t="s">
        <v>1414</v>
      </c>
      <c r="C181" t="s">
        <v>29</v>
      </c>
      <c r="D181" t="s">
        <v>1085</v>
      </c>
      <c r="E181" t="s">
        <v>358</v>
      </c>
      <c r="F181" t="s">
        <v>1018</v>
      </c>
      <c r="G181" t="s">
        <v>1019</v>
      </c>
      <c r="H181" t="str">
        <f>INDEX([1]妻子表!$A:$A,MATCH(F181,[1]妻子表!$B:$B,0))</f>
        <v>M000116W01</v>
      </c>
      <c r="I181" t="str">
        <f>VLOOKUP(H181,[1]妻子表!$A:$D,4,0)</f>
        <v>刘氏</v>
      </c>
      <c r="J181" t="s">
        <v>359</v>
      </c>
      <c r="K181" t="s">
        <v>1415</v>
      </c>
      <c r="L181" t="s">
        <v>361</v>
      </c>
      <c r="M181" t="s">
        <v>1416</v>
      </c>
      <c r="N181" t="s">
        <v>1417</v>
      </c>
      <c r="O181" t="s">
        <v>1418</v>
      </c>
      <c r="P181" t="s">
        <v>224</v>
      </c>
      <c r="Q181" t="s">
        <v>1419</v>
      </c>
      <c r="R181" t="s">
        <v>1168</v>
      </c>
      <c r="S181" t="s">
        <v>1420</v>
      </c>
      <c r="T181" s="2" t="s">
        <v>1421</v>
      </c>
      <c r="U181" t="s">
        <v>1422</v>
      </c>
      <c r="Y181" t="s">
        <v>1423</v>
      </c>
      <c r="AA181" t="s">
        <v>1424</v>
      </c>
    </row>
    <row r="182" spans="1:27" x14ac:dyDescent="0.25">
      <c r="A182" t="s">
        <v>1425</v>
      </c>
      <c r="B182" t="s">
        <v>1426</v>
      </c>
      <c r="C182" t="s">
        <v>29</v>
      </c>
      <c r="D182" t="s">
        <v>1085</v>
      </c>
      <c r="E182" t="s">
        <v>358</v>
      </c>
      <c r="F182" t="s">
        <v>1029</v>
      </c>
      <c r="G182" t="s">
        <v>1030</v>
      </c>
      <c r="H182" t="str">
        <f>INDEX([1]妻子表!$A:$A,MATCH(F182,[1]妻子表!$B:$B,0))</f>
        <v>M000117W01</v>
      </c>
      <c r="I182" t="str">
        <f>VLOOKUP(H182,[1]妻子表!$A:$D,4,0)</f>
        <v>王氏</v>
      </c>
      <c r="J182" t="s">
        <v>359</v>
      </c>
      <c r="K182" t="s">
        <v>1427</v>
      </c>
      <c r="M182" t="s">
        <v>1428</v>
      </c>
      <c r="N182" t="s">
        <v>1367</v>
      </c>
      <c r="O182" t="s">
        <v>1429</v>
      </c>
      <c r="P182" t="s">
        <v>184</v>
      </c>
      <c r="T182" s="2" t="s">
        <v>1430</v>
      </c>
      <c r="U182" t="s">
        <v>38</v>
      </c>
      <c r="AA182" t="s">
        <v>1431</v>
      </c>
    </row>
    <row r="183" spans="1:27" x14ac:dyDescent="0.25">
      <c r="A183" t="s">
        <v>1432</v>
      </c>
      <c r="B183" t="s">
        <v>1433</v>
      </c>
      <c r="C183" t="s">
        <v>29</v>
      </c>
      <c r="D183" t="s">
        <v>1085</v>
      </c>
      <c r="E183" t="s">
        <v>358</v>
      </c>
      <c r="F183" t="s">
        <v>1040</v>
      </c>
      <c r="G183" t="s">
        <v>1041</v>
      </c>
      <c r="H183" t="str">
        <f>INDEX([1]妻子表!$A:$A,MATCH(F183,[1]妻子表!$B:$B,0))</f>
        <v>M000118W01</v>
      </c>
      <c r="I183" t="str">
        <f>VLOOKUP(H183,[1]妻子表!$A:$D,4,0)</f>
        <v>廖氏</v>
      </c>
      <c r="J183" t="s">
        <v>359</v>
      </c>
      <c r="K183" t="s">
        <v>1434</v>
      </c>
      <c r="L183" t="s">
        <v>454</v>
      </c>
      <c r="M183" t="s">
        <v>1435</v>
      </c>
      <c r="N183" t="s">
        <v>898</v>
      </c>
      <c r="O183" t="s">
        <v>1436</v>
      </c>
      <c r="P183" t="s">
        <v>257</v>
      </c>
      <c r="Q183" t="s">
        <v>1437</v>
      </c>
      <c r="R183" t="s">
        <v>1438</v>
      </c>
      <c r="S183" t="s">
        <v>1439</v>
      </c>
      <c r="T183" s="2" t="s">
        <v>1440</v>
      </c>
      <c r="U183" t="s">
        <v>174</v>
      </c>
      <c r="AA183" t="s">
        <v>1441</v>
      </c>
    </row>
    <row r="184" spans="1:27" x14ac:dyDescent="0.25">
      <c r="A184" t="s">
        <v>1442</v>
      </c>
      <c r="B184" t="s">
        <v>1443</v>
      </c>
      <c r="C184" t="s">
        <v>29</v>
      </c>
      <c r="D184" t="s">
        <v>1085</v>
      </c>
      <c r="E184" t="s">
        <v>358</v>
      </c>
      <c r="F184" t="s">
        <v>1052</v>
      </c>
      <c r="G184" t="s">
        <v>1053</v>
      </c>
      <c r="H184" t="str">
        <f>INDEX([1]妻子表!$A:$A,MATCH(F184,[1]妻子表!$B:$B,0))</f>
        <v>M000119W01</v>
      </c>
      <c r="I184" t="str">
        <f>VLOOKUP(H184,[1]妻子表!$A:$D,4,0)</f>
        <v>李氏</v>
      </c>
      <c r="J184" t="s">
        <v>359</v>
      </c>
      <c r="K184" t="s">
        <v>1444</v>
      </c>
      <c r="L184" t="s">
        <v>417</v>
      </c>
      <c r="M184" t="s">
        <v>1445</v>
      </c>
      <c r="N184" t="s">
        <v>575</v>
      </c>
      <c r="O184" t="s">
        <v>1446</v>
      </c>
      <c r="P184" t="s">
        <v>407</v>
      </c>
      <c r="Q184" t="s">
        <v>1447</v>
      </c>
      <c r="R184" t="s">
        <v>1448</v>
      </c>
      <c r="S184" t="s">
        <v>1449</v>
      </c>
      <c r="T184" s="2" t="s">
        <v>1450</v>
      </c>
      <c r="U184" t="s">
        <v>38</v>
      </c>
      <c r="AA184" t="s">
        <v>1451</v>
      </c>
    </row>
    <row r="185" spans="1:27" x14ac:dyDescent="0.25">
      <c r="A185" t="s">
        <v>1452</v>
      </c>
      <c r="B185" t="s">
        <v>1453</v>
      </c>
      <c r="C185" t="s">
        <v>29</v>
      </c>
      <c r="D185" t="s">
        <v>1085</v>
      </c>
      <c r="E185" t="s">
        <v>358</v>
      </c>
      <c r="F185" t="s">
        <v>1052</v>
      </c>
      <c r="G185" t="s">
        <v>1053</v>
      </c>
      <c r="H185" t="str">
        <f>INDEX([1]妻子表!$A:$A,MATCH(F185,[1]妻子表!$B:$B,0))</f>
        <v>M000119W01</v>
      </c>
      <c r="I185" t="str">
        <f>VLOOKUP(H185,[1]妻子表!$A:$D,4,0)</f>
        <v>李氏</v>
      </c>
      <c r="J185" t="s">
        <v>359</v>
      </c>
      <c r="K185" t="s">
        <v>1454</v>
      </c>
      <c r="L185" t="s">
        <v>725</v>
      </c>
      <c r="M185" t="s">
        <v>1455</v>
      </c>
      <c r="N185" t="s">
        <v>1456</v>
      </c>
      <c r="O185" t="s">
        <v>1457</v>
      </c>
      <c r="P185" t="s">
        <v>184</v>
      </c>
      <c r="Q185" t="s">
        <v>1458</v>
      </c>
      <c r="R185" t="s">
        <v>962</v>
      </c>
      <c r="S185" t="s">
        <v>1459</v>
      </c>
      <c r="T185" s="2" t="s">
        <v>1460</v>
      </c>
      <c r="U185" t="s">
        <v>174</v>
      </c>
      <c r="AA185" t="s">
        <v>1461</v>
      </c>
    </row>
    <row r="186" spans="1:27" x14ac:dyDescent="0.25">
      <c r="A186" t="s">
        <v>1462</v>
      </c>
      <c r="B186" t="s">
        <v>1463</v>
      </c>
      <c r="C186" t="s">
        <v>29</v>
      </c>
      <c r="D186" t="s">
        <v>1085</v>
      </c>
      <c r="E186" t="s">
        <v>358</v>
      </c>
      <c r="F186" t="s">
        <v>1052</v>
      </c>
      <c r="G186" t="s">
        <v>1053</v>
      </c>
      <c r="H186" t="str">
        <f>INDEX([1]妻子表!$A:$A,MATCH(F186,[1]妻子表!$B:$B,0))</f>
        <v>M000119W01</v>
      </c>
      <c r="I186" t="str">
        <f>VLOOKUP(H186,[1]妻子表!$A:$D,4,0)</f>
        <v>李氏</v>
      </c>
      <c r="J186" t="s">
        <v>359</v>
      </c>
      <c r="AA186" t="s">
        <v>1464</v>
      </c>
    </row>
    <row r="187" spans="1:27" x14ac:dyDescent="0.25">
      <c r="A187" t="s">
        <v>1465</v>
      </c>
      <c r="B187" t="s">
        <v>1466</v>
      </c>
      <c r="C187" t="s">
        <v>29</v>
      </c>
      <c r="D187" t="s">
        <v>870</v>
      </c>
      <c r="E187" t="s">
        <v>358</v>
      </c>
      <c r="F187" t="s">
        <v>1093</v>
      </c>
      <c r="G187" t="s">
        <v>1094</v>
      </c>
      <c r="H187" t="str">
        <f>INDEX([1]妻子表!$A:$A,MATCH(F187,[1]妻子表!$B:$B,0))</f>
        <v>M000123W01</v>
      </c>
      <c r="I187" t="str">
        <f>VLOOKUP(H187,[1]妻子表!$A:$D,4,0)</f>
        <v>肖氏</v>
      </c>
      <c r="J187" t="s">
        <v>359</v>
      </c>
    </row>
    <row r="188" spans="1:27" x14ac:dyDescent="0.25">
      <c r="A188" t="s">
        <v>1467</v>
      </c>
      <c r="B188" t="s">
        <v>1468</v>
      </c>
      <c r="C188" t="s">
        <v>29</v>
      </c>
      <c r="D188" t="s">
        <v>870</v>
      </c>
      <c r="E188" t="s">
        <v>358</v>
      </c>
      <c r="F188" t="s">
        <v>1113</v>
      </c>
      <c r="G188" t="s">
        <v>1114</v>
      </c>
      <c r="H188" t="str">
        <f>INDEX([1]妻子表!$A:$A,MATCH(F188,[1]妻子表!$B:$B,0))</f>
        <v>M000128W01</v>
      </c>
      <c r="I188" t="str">
        <f>VLOOKUP(H188,[1]妻子表!$A:$D,4,0)</f>
        <v>彭氏</v>
      </c>
      <c r="J188" t="s">
        <v>359</v>
      </c>
      <c r="K188" t="s">
        <v>1469</v>
      </c>
      <c r="L188" t="s">
        <v>570</v>
      </c>
      <c r="M188" t="s">
        <v>1470</v>
      </c>
      <c r="N188" t="s">
        <v>1087</v>
      </c>
      <c r="O188" t="s">
        <v>1471</v>
      </c>
      <c r="P188" t="s">
        <v>240</v>
      </c>
      <c r="Q188" t="s">
        <v>1472</v>
      </c>
      <c r="R188" t="s">
        <v>1473</v>
      </c>
      <c r="S188" t="s">
        <v>1474</v>
      </c>
      <c r="T188" s="2" t="s">
        <v>1475</v>
      </c>
      <c r="U188" t="s">
        <v>174</v>
      </c>
      <c r="AA188" t="s">
        <v>1476</v>
      </c>
    </row>
    <row r="189" spans="1:27" ht="31.5" customHeight="1" x14ac:dyDescent="0.25">
      <c r="A189" t="s">
        <v>1477</v>
      </c>
      <c r="B189" t="s">
        <v>1478</v>
      </c>
      <c r="C189" t="s">
        <v>29</v>
      </c>
      <c r="D189" t="s">
        <v>870</v>
      </c>
      <c r="E189" t="s">
        <v>358</v>
      </c>
      <c r="F189" t="s">
        <v>1113</v>
      </c>
      <c r="G189" t="s">
        <v>1114</v>
      </c>
      <c r="H189" t="str">
        <f>INDEX([1]妻子表!$A:$A,MATCH(F189,[1]妻子表!$B:$B,0))</f>
        <v>M000128W01</v>
      </c>
      <c r="I189" t="str">
        <f>VLOOKUP(H189,[1]妻子表!$A:$D,4,0)</f>
        <v>彭氏</v>
      </c>
      <c r="J189" t="s">
        <v>359</v>
      </c>
      <c r="K189" t="s">
        <v>950</v>
      </c>
      <c r="L189" t="s">
        <v>1215</v>
      </c>
      <c r="M189" t="s">
        <v>1479</v>
      </c>
      <c r="N189" t="s">
        <v>1000</v>
      </c>
      <c r="O189" t="s">
        <v>1480</v>
      </c>
      <c r="P189" t="s">
        <v>315</v>
      </c>
      <c r="Q189" t="s">
        <v>1481</v>
      </c>
      <c r="R189" t="s">
        <v>1482</v>
      </c>
      <c r="S189" t="s">
        <v>1483</v>
      </c>
      <c r="T189" s="2" t="s">
        <v>1484</v>
      </c>
      <c r="U189" t="s">
        <v>1485</v>
      </c>
      <c r="AA189" t="s">
        <v>1486</v>
      </c>
    </row>
    <row r="190" spans="1:27" x14ac:dyDescent="0.25">
      <c r="A190" t="s">
        <v>1487</v>
      </c>
      <c r="B190" t="s">
        <v>1488</v>
      </c>
      <c r="C190" t="s">
        <v>29</v>
      </c>
      <c r="D190" t="s">
        <v>870</v>
      </c>
      <c r="E190" t="s">
        <v>358</v>
      </c>
      <c r="F190" t="s">
        <v>1113</v>
      </c>
      <c r="G190" t="s">
        <v>1114</v>
      </c>
      <c r="H190" t="str">
        <f>INDEX([1]妻子表!$A:$A,MATCH(F190,[1]妻子表!$B:$B,0))</f>
        <v>M000128W01</v>
      </c>
      <c r="I190" t="str">
        <f>VLOOKUP(H190,[1]妻子表!$A:$D,4,0)</f>
        <v>彭氏</v>
      </c>
      <c r="J190" t="s">
        <v>359</v>
      </c>
      <c r="K190" t="s">
        <v>1138</v>
      </c>
      <c r="L190" t="s">
        <v>454</v>
      </c>
      <c r="M190" t="s">
        <v>1489</v>
      </c>
      <c r="N190" t="s">
        <v>790</v>
      </c>
      <c r="O190" t="s">
        <v>1490</v>
      </c>
      <c r="P190" t="s">
        <v>407</v>
      </c>
      <c r="Q190" t="s">
        <v>1491</v>
      </c>
      <c r="R190" t="s">
        <v>1492</v>
      </c>
      <c r="S190" t="s">
        <v>1493</v>
      </c>
      <c r="T190" s="2" t="s">
        <v>1494</v>
      </c>
      <c r="U190" t="s">
        <v>138</v>
      </c>
      <c r="AA190" t="s">
        <v>1495</v>
      </c>
    </row>
    <row r="191" spans="1:27" x14ac:dyDescent="0.25">
      <c r="A191" t="s">
        <v>1496</v>
      </c>
      <c r="B191" t="s">
        <v>1497</v>
      </c>
      <c r="C191" t="s">
        <v>29</v>
      </c>
      <c r="D191" t="s">
        <v>870</v>
      </c>
      <c r="E191" t="s">
        <v>358</v>
      </c>
      <c r="F191" t="s">
        <v>1113</v>
      </c>
      <c r="G191" t="s">
        <v>1114</v>
      </c>
      <c r="H191" t="str">
        <f>INDEX([1]妻子表!$A:$A,MATCH(F191,[1]妻子表!$B:$B,0))</f>
        <v>M000128W01</v>
      </c>
      <c r="I191" t="str">
        <f>VLOOKUP(H191,[1]妻子表!$A:$D,4,0)</f>
        <v>彭氏</v>
      </c>
      <c r="J191" t="s">
        <v>359</v>
      </c>
      <c r="K191" t="s">
        <v>1498</v>
      </c>
      <c r="L191" t="s">
        <v>454</v>
      </c>
      <c r="M191" t="s">
        <v>1499</v>
      </c>
      <c r="N191" t="s">
        <v>827</v>
      </c>
      <c r="O191" t="s">
        <v>1500</v>
      </c>
      <c r="P191" t="s">
        <v>200</v>
      </c>
      <c r="Q191" t="s">
        <v>1501</v>
      </c>
      <c r="R191" t="s">
        <v>1502</v>
      </c>
      <c r="S191" t="s">
        <v>1503</v>
      </c>
      <c r="T191" s="2" t="s">
        <v>1504</v>
      </c>
      <c r="U191" t="s">
        <v>1221</v>
      </c>
      <c r="AA191" t="s">
        <v>1505</v>
      </c>
    </row>
    <row r="192" spans="1:27" x14ac:dyDescent="0.25">
      <c r="A192" t="s">
        <v>1506</v>
      </c>
      <c r="B192" t="s">
        <v>1507</v>
      </c>
      <c r="C192" t="s">
        <v>29</v>
      </c>
      <c r="D192" t="s">
        <v>870</v>
      </c>
      <c r="E192" t="s">
        <v>358</v>
      </c>
      <c r="F192" t="s">
        <v>1121</v>
      </c>
      <c r="G192" t="s">
        <v>1122</v>
      </c>
      <c r="H192" t="str">
        <f>INDEX([1]妻子表!$A:$A,MATCH(F192,[1]妻子表!$B:$B,0))</f>
        <v>M000129W01</v>
      </c>
      <c r="I192" t="str">
        <f>VLOOKUP(H192,[1]妻子表!$A:$D,4,0)</f>
        <v>刘氏</v>
      </c>
      <c r="J192" t="s">
        <v>359</v>
      </c>
      <c r="K192" t="s">
        <v>1469</v>
      </c>
      <c r="L192" t="s">
        <v>1508</v>
      </c>
      <c r="M192" t="s">
        <v>1509</v>
      </c>
      <c r="N192" t="s">
        <v>1079</v>
      </c>
      <c r="O192" t="s">
        <v>1510</v>
      </c>
      <c r="P192" t="s">
        <v>497</v>
      </c>
      <c r="Q192" t="s">
        <v>1511</v>
      </c>
      <c r="R192" t="s">
        <v>1438</v>
      </c>
      <c r="S192" t="s">
        <v>1512</v>
      </c>
      <c r="T192" s="2" t="s">
        <v>1513</v>
      </c>
      <c r="U192" t="s">
        <v>95</v>
      </c>
      <c r="AA192" t="s">
        <v>1514</v>
      </c>
    </row>
    <row r="193" spans="1:27" x14ac:dyDescent="0.25">
      <c r="A193" t="s">
        <v>1515</v>
      </c>
      <c r="B193" t="s">
        <v>1516</v>
      </c>
      <c r="C193" t="s">
        <v>29</v>
      </c>
      <c r="D193" t="s">
        <v>870</v>
      </c>
      <c r="E193" t="s">
        <v>358</v>
      </c>
      <c r="F193" t="s">
        <v>1154</v>
      </c>
      <c r="G193" t="s">
        <v>1155</v>
      </c>
      <c r="H193" t="str">
        <f>INDEX([1]妻子表!$A:$A,MATCH(F193,[1]妻子表!$B:$B,0))</f>
        <v>M000136W01</v>
      </c>
      <c r="I193" t="str">
        <f>VLOOKUP(H193,[1]妻子表!$A:$D,4,0)</f>
        <v>刘氏</v>
      </c>
      <c r="J193" t="s">
        <v>359</v>
      </c>
      <c r="M193" t="s">
        <v>1517</v>
      </c>
      <c r="N193" t="s">
        <v>1518</v>
      </c>
      <c r="O193" t="s">
        <v>1519</v>
      </c>
      <c r="P193" t="s">
        <v>601</v>
      </c>
      <c r="AA193" t="s">
        <v>1520</v>
      </c>
    </row>
    <row r="194" spans="1:27" x14ac:dyDescent="0.25">
      <c r="A194" t="s">
        <v>1521</v>
      </c>
      <c r="B194" t="s">
        <v>1522</v>
      </c>
      <c r="C194" t="s">
        <v>29</v>
      </c>
      <c r="D194" t="s">
        <v>870</v>
      </c>
      <c r="E194" t="s">
        <v>358</v>
      </c>
      <c r="F194" t="s">
        <v>1163</v>
      </c>
      <c r="G194" t="s">
        <v>1164</v>
      </c>
      <c r="H194" t="str">
        <f>INDEX([1]妻子表!$A:$A,MATCH(F194,[1]妻子表!$B:$B,0))</f>
        <v>M000137W01</v>
      </c>
      <c r="I194" t="str">
        <f>VLOOKUP(H194,[1]妻子表!$A:$D,4,0)</f>
        <v>陈氏</v>
      </c>
      <c r="J194" t="s">
        <v>359</v>
      </c>
      <c r="L194" t="s">
        <v>269</v>
      </c>
      <c r="M194" t="s">
        <v>1523</v>
      </c>
      <c r="N194" t="s">
        <v>1518</v>
      </c>
      <c r="O194" t="s">
        <v>1524</v>
      </c>
      <c r="P194" t="s">
        <v>601</v>
      </c>
      <c r="Q194" t="s">
        <v>1525</v>
      </c>
      <c r="R194" t="s">
        <v>1526</v>
      </c>
      <c r="S194" t="s">
        <v>1527</v>
      </c>
      <c r="AA194" t="s">
        <v>1528</v>
      </c>
    </row>
    <row r="195" spans="1:27" x14ac:dyDescent="0.25">
      <c r="A195" t="s">
        <v>1529</v>
      </c>
      <c r="B195" t="s">
        <v>1530</v>
      </c>
      <c r="C195" t="s">
        <v>29</v>
      </c>
      <c r="D195" t="s">
        <v>870</v>
      </c>
      <c r="E195" t="s">
        <v>358</v>
      </c>
      <c r="F195" t="s">
        <v>1163</v>
      </c>
      <c r="G195" t="s">
        <v>1164</v>
      </c>
      <c r="H195" t="str">
        <f>INDEX([1]妻子表!$A:$A,MATCH(F195,[1]妻子表!$B:$B,0))</f>
        <v>M000137W01</v>
      </c>
      <c r="I195" t="str">
        <f>VLOOKUP(H195,[1]妻子表!$A:$D,4,0)</f>
        <v>陈氏</v>
      </c>
      <c r="J195" t="s">
        <v>359</v>
      </c>
      <c r="M195" t="s">
        <v>1531</v>
      </c>
      <c r="N195" t="s">
        <v>1532</v>
      </c>
      <c r="O195" t="s">
        <v>1533</v>
      </c>
      <c r="P195" t="s">
        <v>184</v>
      </c>
      <c r="T195" s="2" t="s">
        <v>1534</v>
      </c>
      <c r="U195" t="s">
        <v>882</v>
      </c>
      <c r="AA195" t="s">
        <v>1535</v>
      </c>
    </row>
    <row r="196" spans="1:27" x14ac:dyDescent="0.25">
      <c r="A196" t="s">
        <v>1536</v>
      </c>
      <c r="B196" t="s">
        <v>1537</v>
      </c>
      <c r="C196" t="s">
        <v>29</v>
      </c>
      <c r="D196" t="s">
        <v>870</v>
      </c>
      <c r="E196" t="s">
        <v>358</v>
      </c>
      <c r="F196" t="s">
        <v>1172</v>
      </c>
      <c r="G196" t="s">
        <v>1173</v>
      </c>
      <c r="H196" t="str">
        <f>INDEX([1]妻子表!$A:$A,MATCH(F196,[1]妻子表!$B:$B,0))</f>
        <v>M000138W01</v>
      </c>
      <c r="I196" t="str">
        <f>VLOOKUP(H196,[1]妻子表!$A:$D,4,0)</f>
        <v>肖氏</v>
      </c>
      <c r="J196" t="s">
        <v>359</v>
      </c>
      <c r="K196" t="s">
        <v>1538</v>
      </c>
      <c r="T196" s="2" t="s">
        <v>1539</v>
      </c>
      <c r="U196" t="s">
        <v>95</v>
      </c>
      <c r="AA196" t="s">
        <v>1540</v>
      </c>
    </row>
    <row r="197" spans="1:27" x14ac:dyDescent="0.25">
      <c r="A197" t="s">
        <v>1541</v>
      </c>
      <c r="B197" t="s">
        <v>1542</v>
      </c>
      <c r="C197" t="s">
        <v>29</v>
      </c>
      <c r="D197" t="s">
        <v>870</v>
      </c>
      <c r="E197" t="s">
        <v>358</v>
      </c>
      <c r="F197" t="s">
        <v>1176</v>
      </c>
      <c r="G197" t="s">
        <v>1177</v>
      </c>
      <c r="H197" t="str">
        <f>INDEX([1]妻子表!$A:$A,MATCH(F197,[1]妻子表!$B:$B,0))</f>
        <v>M000139W01</v>
      </c>
      <c r="I197" t="str">
        <f>VLOOKUP(H197,[1]妻子表!$A:$D,4,0)</f>
        <v>刘氏</v>
      </c>
      <c r="J197" t="s">
        <v>359</v>
      </c>
      <c r="AA197" t="s">
        <v>489</v>
      </c>
    </row>
    <row r="198" spans="1:27" x14ac:dyDescent="0.25">
      <c r="A198" t="s">
        <v>1543</v>
      </c>
      <c r="B198" t="s">
        <v>1544</v>
      </c>
      <c r="C198" t="s">
        <v>29</v>
      </c>
      <c r="D198" t="s">
        <v>870</v>
      </c>
      <c r="E198" t="s">
        <v>358</v>
      </c>
      <c r="F198" t="s">
        <v>1189</v>
      </c>
      <c r="G198" t="s">
        <v>1190</v>
      </c>
      <c r="H198" t="str">
        <f>INDEX([1]妻子表!$A:$A,MATCH(F198,[1]妻子表!$B:$B,0))</f>
        <v>M000141W01</v>
      </c>
      <c r="I198" t="str">
        <f>VLOOKUP(H198,[1]妻子表!$A:$D,4,0)</f>
        <v>刘氏</v>
      </c>
      <c r="J198" t="s">
        <v>359</v>
      </c>
      <c r="K198" t="s">
        <v>1545</v>
      </c>
      <c r="L198" t="s">
        <v>725</v>
      </c>
      <c r="M198" t="s">
        <v>1546</v>
      </c>
      <c r="N198" t="s">
        <v>1087</v>
      </c>
      <c r="O198" t="s">
        <v>1547</v>
      </c>
      <c r="P198" t="s">
        <v>240</v>
      </c>
      <c r="Q198" t="s">
        <v>1548</v>
      </c>
      <c r="R198" t="s">
        <v>1099</v>
      </c>
      <c r="S198" t="s">
        <v>1549</v>
      </c>
      <c r="T198" s="2" t="s">
        <v>1550</v>
      </c>
      <c r="U198" t="s">
        <v>174</v>
      </c>
      <c r="AA198" t="s">
        <v>1551</v>
      </c>
    </row>
    <row r="199" spans="1:27" x14ac:dyDescent="0.25">
      <c r="A199" t="s">
        <v>1552</v>
      </c>
      <c r="B199" t="s">
        <v>1553</v>
      </c>
      <c r="C199" t="s">
        <v>29</v>
      </c>
      <c r="D199" t="s">
        <v>870</v>
      </c>
      <c r="E199" t="s">
        <v>358</v>
      </c>
      <c r="F199" t="s">
        <v>1193</v>
      </c>
      <c r="G199" t="s">
        <v>1194</v>
      </c>
      <c r="H199" t="str">
        <f>INDEX([1]妻子表!$A:$A,MATCH(F199,[1]妻子表!$B:$B,0))</f>
        <v>M000142W01</v>
      </c>
      <c r="I199" t="str">
        <f>VLOOKUP(H199,[1]妻子表!$A:$D,4,0)</f>
        <v>肖氏</v>
      </c>
      <c r="J199" t="s">
        <v>359</v>
      </c>
      <c r="T199" s="2" t="s">
        <v>1554</v>
      </c>
      <c r="U199" t="s">
        <v>777</v>
      </c>
      <c r="AA199" t="s">
        <v>1555</v>
      </c>
    </row>
    <row r="200" spans="1:27" x14ac:dyDescent="0.25">
      <c r="A200" t="s">
        <v>1556</v>
      </c>
      <c r="B200" t="s">
        <v>1557</v>
      </c>
      <c r="C200" t="s">
        <v>29</v>
      </c>
      <c r="D200" t="s">
        <v>870</v>
      </c>
      <c r="E200" t="s">
        <v>358</v>
      </c>
      <c r="F200" t="s">
        <v>1203</v>
      </c>
      <c r="G200" t="s">
        <v>1204</v>
      </c>
      <c r="H200" t="str">
        <f>INDEX([1]妻子表!$A:$A,MATCH(F200,[1]妻子表!$B:$B,0))</f>
        <v>M000145W01</v>
      </c>
      <c r="I200" t="str">
        <f>VLOOKUP(H200,[1]妻子表!$A:$D,4,0)</f>
        <v>廖氏</v>
      </c>
      <c r="J200" t="s">
        <v>359</v>
      </c>
      <c r="T200" s="2" t="s">
        <v>1558</v>
      </c>
      <c r="U200" t="s">
        <v>215</v>
      </c>
      <c r="AA200" t="s">
        <v>1559</v>
      </c>
    </row>
    <row r="201" spans="1:27" x14ac:dyDescent="0.25">
      <c r="A201" t="s">
        <v>1560</v>
      </c>
      <c r="B201" t="s">
        <v>1561</v>
      </c>
      <c r="C201" t="s">
        <v>29</v>
      </c>
      <c r="D201" t="s">
        <v>870</v>
      </c>
      <c r="E201" t="s">
        <v>358</v>
      </c>
      <c r="F201" t="s">
        <v>1208</v>
      </c>
      <c r="G201" t="s">
        <v>1209</v>
      </c>
      <c r="H201" t="str">
        <f>INDEX([1]妻子表!$A:$A,MATCH(F201,[1]妻子表!$B:$B,0))</f>
        <v>M000146W01</v>
      </c>
      <c r="I201" t="str">
        <f>VLOOKUP(H201,[1]妻子表!$A:$D,4,0)</f>
        <v>刘氏</v>
      </c>
      <c r="J201" t="s">
        <v>359</v>
      </c>
      <c r="AA201" t="s">
        <v>1562</v>
      </c>
    </row>
    <row r="202" spans="1:27" x14ac:dyDescent="0.25">
      <c r="A202" t="s">
        <v>1563</v>
      </c>
      <c r="B202" t="s">
        <v>1564</v>
      </c>
      <c r="C202" t="s">
        <v>29</v>
      </c>
      <c r="D202" t="s">
        <v>870</v>
      </c>
      <c r="E202" t="s">
        <v>358</v>
      </c>
      <c r="F202" t="s">
        <v>1212</v>
      </c>
      <c r="G202" t="s">
        <v>1213</v>
      </c>
      <c r="H202" t="str">
        <f>INDEX([1]妻子表!$A:$A,MATCH(F202,[1]妻子表!$B:$B,0))</f>
        <v>M000147W01</v>
      </c>
      <c r="I202" t="str">
        <f>VLOOKUP(H202,[1]妻子表!$A:$D,4,0)</f>
        <v>黄氏</v>
      </c>
      <c r="J202" t="s">
        <v>359</v>
      </c>
      <c r="M202" t="s">
        <v>1565</v>
      </c>
      <c r="N202" t="s">
        <v>1252</v>
      </c>
      <c r="O202" t="s">
        <v>1566</v>
      </c>
      <c r="P202" t="s">
        <v>184</v>
      </c>
      <c r="AA202" t="s">
        <v>1567</v>
      </c>
    </row>
    <row r="203" spans="1:27" x14ac:dyDescent="0.25">
      <c r="A203" t="s">
        <v>1568</v>
      </c>
      <c r="B203" t="s">
        <v>1569</v>
      </c>
      <c r="C203" t="s">
        <v>29</v>
      </c>
      <c r="D203" t="s">
        <v>870</v>
      </c>
      <c r="E203" t="s">
        <v>358</v>
      </c>
      <c r="F203" t="s">
        <v>1212</v>
      </c>
      <c r="G203" t="s">
        <v>1213</v>
      </c>
      <c r="H203" t="str">
        <f>INDEX([1]妻子表!$A:$A,MATCH(F203,[1]妻子表!$B:$B,0))</f>
        <v>M000147W01</v>
      </c>
      <c r="I203" t="str">
        <f>VLOOKUP(H203,[1]妻子表!$A:$D,4,0)</f>
        <v>黄氏</v>
      </c>
      <c r="J203" t="s">
        <v>359</v>
      </c>
      <c r="K203" t="s">
        <v>1042</v>
      </c>
      <c r="L203" t="s">
        <v>518</v>
      </c>
      <c r="M203" t="s">
        <v>1570</v>
      </c>
      <c r="N203" t="s">
        <v>1571</v>
      </c>
      <c r="O203" t="s">
        <v>1572</v>
      </c>
      <c r="P203" t="s">
        <v>240</v>
      </c>
      <c r="Q203" t="s">
        <v>1573</v>
      </c>
      <c r="R203" t="s">
        <v>1574</v>
      </c>
      <c r="S203" t="s">
        <v>1575</v>
      </c>
      <c r="T203" s="2" t="s">
        <v>1576</v>
      </c>
      <c r="U203" t="s">
        <v>174</v>
      </c>
      <c r="AA203" t="s">
        <v>1577</v>
      </c>
    </row>
    <row r="204" spans="1:27" x14ac:dyDescent="0.25">
      <c r="A204" t="s">
        <v>1578</v>
      </c>
      <c r="B204" t="s">
        <v>1579</v>
      </c>
      <c r="C204" t="s">
        <v>29</v>
      </c>
      <c r="D204" t="s">
        <v>870</v>
      </c>
      <c r="E204" t="s">
        <v>358</v>
      </c>
      <c r="F204" t="s">
        <v>1225</v>
      </c>
      <c r="G204" t="s">
        <v>1226</v>
      </c>
      <c r="H204" t="str">
        <f>INDEX([1]妻子表!$A:$A,MATCH(F204,[1]妻子表!$B:$B,0))</f>
        <v>M000149W01</v>
      </c>
      <c r="I204" t="str">
        <f>VLOOKUP(H204,[1]妻子表!$A:$D,4,0)</f>
        <v>刘氏</v>
      </c>
      <c r="J204" t="s">
        <v>359</v>
      </c>
      <c r="AA204" t="s">
        <v>489</v>
      </c>
    </row>
    <row r="205" spans="1:27" x14ac:dyDescent="0.25">
      <c r="A205" t="s">
        <v>1580</v>
      </c>
      <c r="B205" t="s">
        <v>1581</v>
      </c>
      <c r="C205" t="s">
        <v>29</v>
      </c>
      <c r="D205" t="s">
        <v>870</v>
      </c>
      <c r="E205" t="s">
        <v>358</v>
      </c>
      <c r="F205" t="s">
        <v>1237</v>
      </c>
      <c r="G205" t="s">
        <v>1238</v>
      </c>
      <c r="H205" t="str">
        <f>INDEX([1]妻子表!$A:$A,MATCH(F205,[1]妻子表!$B:$B,0))</f>
        <v>M000150W01</v>
      </c>
      <c r="I205" t="str">
        <f>VLOOKUP(H205,[1]妻子表!$A:$D,4,0)</f>
        <v>杨氏</v>
      </c>
      <c r="J205" t="s">
        <v>359</v>
      </c>
      <c r="T205" s="2" t="s">
        <v>1582</v>
      </c>
      <c r="U205" t="s">
        <v>189</v>
      </c>
      <c r="AA205" t="s">
        <v>1583</v>
      </c>
    </row>
    <row r="206" spans="1:27" x14ac:dyDescent="0.25">
      <c r="A206" t="s">
        <v>1584</v>
      </c>
      <c r="B206" t="s">
        <v>1585</v>
      </c>
      <c r="C206" t="s">
        <v>29</v>
      </c>
      <c r="D206" t="s">
        <v>870</v>
      </c>
      <c r="E206" t="s">
        <v>358</v>
      </c>
      <c r="F206" t="s">
        <v>1245</v>
      </c>
      <c r="G206" t="s">
        <v>1246</v>
      </c>
      <c r="H206" t="str">
        <f>INDEX([1]妻子表!$A:$A,MATCH(F206,[1]妻子表!$B:$B,0))</f>
        <v>M000151W01</v>
      </c>
      <c r="I206" t="str">
        <f>VLOOKUP(H206,[1]妻子表!$A:$D,4,0)</f>
        <v>周氏</v>
      </c>
      <c r="J206" t="s">
        <v>359</v>
      </c>
      <c r="K206" t="s">
        <v>1042</v>
      </c>
      <c r="L206" t="s">
        <v>1317</v>
      </c>
      <c r="M206" t="s">
        <v>1586</v>
      </c>
      <c r="N206" t="s">
        <v>1587</v>
      </c>
      <c r="O206" t="s">
        <v>1588</v>
      </c>
      <c r="P206" t="s">
        <v>315</v>
      </c>
      <c r="Q206" t="s">
        <v>1589</v>
      </c>
      <c r="R206" t="s">
        <v>1492</v>
      </c>
      <c r="S206" t="s">
        <v>1590</v>
      </c>
      <c r="T206" s="2" t="s">
        <v>1591</v>
      </c>
      <c r="U206" t="s">
        <v>174</v>
      </c>
      <c r="AA206" t="s">
        <v>1592</v>
      </c>
    </row>
    <row r="207" spans="1:27" x14ac:dyDescent="0.25">
      <c r="A207" t="s">
        <v>1593</v>
      </c>
      <c r="B207" t="s">
        <v>1594</v>
      </c>
      <c r="C207" t="s">
        <v>29</v>
      </c>
      <c r="D207" t="s">
        <v>870</v>
      </c>
      <c r="E207" t="s">
        <v>358</v>
      </c>
      <c r="F207" t="s">
        <v>1245</v>
      </c>
      <c r="G207" t="s">
        <v>1246</v>
      </c>
      <c r="H207" t="str">
        <f>INDEX([1]妻子表!$A:$A,MATCH(F207,[1]妻子表!$B:$B,0))</f>
        <v>M000151W01</v>
      </c>
      <c r="I207" t="str">
        <f>VLOOKUP(H207,[1]妻子表!$A:$D,4,0)</f>
        <v>周氏</v>
      </c>
      <c r="J207" t="s">
        <v>359</v>
      </c>
      <c r="K207" t="s">
        <v>1595</v>
      </c>
      <c r="L207" t="s">
        <v>1596</v>
      </c>
      <c r="M207" t="s">
        <v>1597</v>
      </c>
      <c r="N207" t="s">
        <v>1598</v>
      </c>
      <c r="O207" t="s">
        <v>1599</v>
      </c>
      <c r="P207" t="s">
        <v>240</v>
      </c>
      <c r="Q207" t="s">
        <v>1600</v>
      </c>
      <c r="R207" t="s">
        <v>1377</v>
      </c>
      <c r="S207" t="s">
        <v>1601</v>
      </c>
      <c r="T207" s="2" t="s">
        <v>1602</v>
      </c>
      <c r="AA207" t="s">
        <v>1603</v>
      </c>
    </row>
    <row r="208" spans="1:27" x14ac:dyDescent="0.25">
      <c r="A208" t="s">
        <v>1604</v>
      </c>
      <c r="B208" t="s">
        <v>1605</v>
      </c>
      <c r="C208" t="s">
        <v>29</v>
      </c>
      <c r="D208" t="s">
        <v>870</v>
      </c>
      <c r="E208" t="s">
        <v>358</v>
      </c>
      <c r="F208" t="s">
        <v>1245</v>
      </c>
      <c r="G208" t="s">
        <v>1246</v>
      </c>
      <c r="H208" t="str">
        <f>INDEX([1]妻子表!$A:$A,MATCH(F208,[1]妻子表!$B:$B,0))</f>
        <v>M000151W01</v>
      </c>
      <c r="I208" t="str">
        <f>VLOOKUP(H208,[1]妻子表!$A:$D,4,0)</f>
        <v>周氏</v>
      </c>
      <c r="J208" t="s">
        <v>359</v>
      </c>
      <c r="AA208" t="s">
        <v>1606</v>
      </c>
    </row>
    <row r="209" spans="1:27" x14ac:dyDescent="0.25">
      <c r="A209" t="s">
        <v>1607</v>
      </c>
      <c r="B209" t="s">
        <v>1608</v>
      </c>
      <c r="C209" t="s">
        <v>29</v>
      </c>
      <c r="D209" t="s">
        <v>870</v>
      </c>
      <c r="E209" t="s">
        <v>358</v>
      </c>
      <c r="F209" t="s">
        <v>1245</v>
      </c>
      <c r="G209" t="s">
        <v>1246</v>
      </c>
      <c r="H209" t="str">
        <f>INDEX([1]妻子表!$A:$A,MATCH(F209,[1]妻子表!$B:$B,0))</f>
        <v>M000151W01</v>
      </c>
      <c r="I209" t="str">
        <f>VLOOKUP(H209,[1]妻子表!$A:$D,4,0)</f>
        <v>周氏</v>
      </c>
      <c r="J209" t="s">
        <v>359</v>
      </c>
      <c r="AA209" t="s">
        <v>489</v>
      </c>
    </row>
    <row r="210" spans="1:27" x14ac:dyDescent="0.25">
      <c r="A210" t="s">
        <v>1609</v>
      </c>
      <c r="B210" t="s">
        <v>1610</v>
      </c>
      <c r="C210" t="s">
        <v>29</v>
      </c>
      <c r="D210" t="s">
        <v>870</v>
      </c>
      <c r="E210" t="s">
        <v>358</v>
      </c>
      <c r="F210" t="s">
        <v>1245</v>
      </c>
      <c r="G210" t="s">
        <v>1246</v>
      </c>
      <c r="H210" t="str">
        <f>INDEX([1]妻子表!$A:$A,MATCH(F210,[1]妻子表!$B:$B,0))</f>
        <v>M000151W01</v>
      </c>
      <c r="I210" t="str">
        <f>VLOOKUP(H210,[1]妻子表!$A:$D,4,0)</f>
        <v>周氏</v>
      </c>
      <c r="J210" t="s">
        <v>359</v>
      </c>
      <c r="AA210" t="s">
        <v>489</v>
      </c>
    </row>
    <row r="211" spans="1:27" x14ac:dyDescent="0.25">
      <c r="A211" t="s">
        <v>1611</v>
      </c>
      <c r="B211" t="s">
        <v>1104</v>
      </c>
      <c r="C211" t="s">
        <v>29</v>
      </c>
      <c r="D211" t="s">
        <v>870</v>
      </c>
      <c r="E211" t="s">
        <v>358</v>
      </c>
      <c r="F211" t="s">
        <v>1256</v>
      </c>
      <c r="G211" t="s">
        <v>1257</v>
      </c>
      <c r="H211" t="str">
        <f>INDEX([1]妻子表!$A:$A,MATCH(F211,[1]妻子表!$B:$B,0))</f>
        <v>M000152W01</v>
      </c>
      <c r="I211" t="str">
        <f>VLOOKUP(H211,[1]妻子表!$A:$D,4,0)</f>
        <v>刘氏</v>
      </c>
      <c r="J211" t="s">
        <v>359</v>
      </c>
      <c r="AA211" t="s">
        <v>1612</v>
      </c>
    </row>
    <row r="212" spans="1:27" x14ac:dyDescent="0.25">
      <c r="A212" t="s">
        <v>1613</v>
      </c>
      <c r="B212" t="s">
        <v>1614</v>
      </c>
      <c r="C212" t="s">
        <v>29</v>
      </c>
      <c r="D212" t="s">
        <v>870</v>
      </c>
      <c r="E212" t="s">
        <v>358</v>
      </c>
      <c r="F212" t="s">
        <v>1256</v>
      </c>
      <c r="G212" t="s">
        <v>1257</v>
      </c>
      <c r="H212" t="str">
        <f>INDEX([1]妻子表!$A:$A,MATCH(F212,[1]妻子表!$B:$B,0))</f>
        <v>M000152W01</v>
      </c>
      <c r="I212" t="str">
        <f>VLOOKUP(H212,[1]妻子表!$A:$D,4,0)</f>
        <v>刘氏</v>
      </c>
      <c r="J212" t="s">
        <v>359</v>
      </c>
      <c r="M212" t="s">
        <v>1615</v>
      </c>
      <c r="N212" t="s">
        <v>1571</v>
      </c>
      <c r="O212" t="s">
        <v>1616</v>
      </c>
      <c r="P212" t="s">
        <v>240</v>
      </c>
      <c r="AA212" t="s">
        <v>1617</v>
      </c>
    </row>
    <row r="213" spans="1:27" x14ac:dyDescent="0.25">
      <c r="A213" t="s">
        <v>1618</v>
      </c>
      <c r="B213" t="s">
        <v>1619</v>
      </c>
      <c r="C213" t="s">
        <v>29</v>
      </c>
      <c r="D213" t="s">
        <v>870</v>
      </c>
      <c r="E213" t="s">
        <v>358</v>
      </c>
      <c r="F213" t="s">
        <v>1260</v>
      </c>
      <c r="G213" t="s">
        <v>1261</v>
      </c>
      <c r="J213" t="s">
        <v>359</v>
      </c>
      <c r="M213" t="s">
        <v>1620</v>
      </c>
      <c r="N213" t="s">
        <v>1284</v>
      </c>
      <c r="O213" t="s">
        <v>203</v>
      </c>
      <c r="P213" t="s">
        <v>497</v>
      </c>
      <c r="AA213" t="s">
        <v>1621</v>
      </c>
    </row>
    <row r="214" spans="1:27" ht="31.5" customHeight="1" x14ac:dyDescent="0.25">
      <c r="A214" t="s">
        <v>1622</v>
      </c>
      <c r="B214" t="s">
        <v>1623</v>
      </c>
      <c r="C214" t="s">
        <v>29</v>
      </c>
      <c r="D214" t="s">
        <v>870</v>
      </c>
      <c r="E214" t="s">
        <v>358</v>
      </c>
      <c r="F214" t="s">
        <v>1269</v>
      </c>
      <c r="G214" t="s">
        <v>1270</v>
      </c>
      <c r="H214" t="str">
        <f>INDEX([1]妻子表!$A:$A,MATCH(F214,[1]妻子表!$B:$B,0))</f>
        <v>M000154W01</v>
      </c>
      <c r="I214" t="str">
        <f>VLOOKUP(H214,[1]妻子表!$A:$D,4,0)</f>
        <v>唐氏</v>
      </c>
      <c r="J214" t="s">
        <v>359</v>
      </c>
      <c r="K214" t="s">
        <v>1042</v>
      </c>
      <c r="L214" t="s">
        <v>454</v>
      </c>
      <c r="M214" t="s">
        <v>1624</v>
      </c>
      <c r="N214" t="s">
        <v>1014</v>
      </c>
      <c r="O214" t="s">
        <v>1625</v>
      </c>
      <c r="P214" t="s">
        <v>315</v>
      </c>
      <c r="Q214" t="s">
        <v>1626</v>
      </c>
      <c r="R214" t="s">
        <v>1295</v>
      </c>
      <c r="S214" t="s">
        <v>1627</v>
      </c>
      <c r="T214" s="2" t="s">
        <v>1628</v>
      </c>
      <c r="U214" t="s">
        <v>1629</v>
      </c>
      <c r="AA214" t="s">
        <v>1630</v>
      </c>
    </row>
    <row r="215" spans="1:27" x14ac:dyDescent="0.25">
      <c r="A215" t="s">
        <v>1631</v>
      </c>
      <c r="B215" t="s">
        <v>1632</v>
      </c>
      <c r="C215" t="s">
        <v>29</v>
      </c>
      <c r="D215" t="s">
        <v>870</v>
      </c>
      <c r="E215" t="s">
        <v>358</v>
      </c>
      <c r="F215" t="s">
        <v>1279</v>
      </c>
      <c r="G215" t="s">
        <v>1280</v>
      </c>
      <c r="H215" t="str">
        <f>INDEX([1]妻子表!$A:$A,MATCH(F215,[1]妻子表!$B:$B,0))</f>
        <v>M000155W01</v>
      </c>
      <c r="I215" t="str">
        <f>VLOOKUP(H215,[1]妻子表!$A:$D,4,0)</f>
        <v>肖氏</v>
      </c>
      <c r="J215" t="s">
        <v>359</v>
      </c>
      <c r="AA215" t="s">
        <v>1633</v>
      </c>
    </row>
    <row r="216" spans="1:27" ht="31.5" customHeight="1" x14ac:dyDescent="0.25">
      <c r="A216" t="s">
        <v>1634</v>
      </c>
      <c r="B216" t="s">
        <v>1635</v>
      </c>
      <c r="C216" t="s">
        <v>29</v>
      </c>
      <c r="D216" t="s">
        <v>870</v>
      </c>
      <c r="E216" t="s">
        <v>358</v>
      </c>
      <c r="F216" t="s">
        <v>1279</v>
      </c>
      <c r="G216" t="s">
        <v>1280</v>
      </c>
      <c r="H216" t="str">
        <f>INDEX([1]妻子表!$A:$A,MATCH(F216,[1]妻子表!$B:$B,0))</f>
        <v>M000155W01</v>
      </c>
      <c r="I216" t="str">
        <f>VLOOKUP(H216,[1]妻子表!$A:$D,4,0)</f>
        <v>肖氏</v>
      </c>
      <c r="J216" t="s">
        <v>359</v>
      </c>
      <c r="K216" t="s">
        <v>1636</v>
      </c>
      <c r="L216" t="s">
        <v>327</v>
      </c>
      <c r="M216" t="s">
        <v>1637</v>
      </c>
      <c r="N216" t="s">
        <v>1230</v>
      </c>
      <c r="O216" t="s">
        <v>1638</v>
      </c>
      <c r="P216" t="s">
        <v>315</v>
      </c>
      <c r="Q216" t="s">
        <v>1639</v>
      </c>
      <c r="R216" t="s">
        <v>1640</v>
      </c>
      <c r="S216" t="s">
        <v>1641</v>
      </c>
      <c r="T216" s="2" t="s">
        <v>1642</v>
      </c>
      <c r="U216" t="s">
        <v>1643</v>
      </c>
      <c r="AA216" t="s">
        <v>1644</v>
      </c>
    </row>
    <row r="217" spans="1:27" x14ac:dyDescent="0.25">
      <c r="A217" t="s">
        <v>1645</v>
      </c>
      <c r="B217" t="s">
        <v>1646</v>
      </c>
      <c r="C217" t="s">
        <v>29</v>
      </c>
      <c r="D217" t="s">
        <v>870</v>
      </c>
      <c r="E217" t="s">
        <v>358</v>
      </c>
      <c r="F217" t="s">
        <v>1288</v>
      </c>
      <c r="G217" t="s">
        <v>1289</v>
      </c>
      <c r="H217" t="str">
        <f>INDEX([1]妻子表!$A:$A,MATCH(F217,[1]妻子表!$B:$B,0))</f>
        <v>M000156W01</v>
      </c>
      <c r="I217" t="str">
        <f>VLOOKUP(H217,[1]妻子表!$A:$D,4,0)</f>
        <v>朱氏</v>
      </c>
      <c r="J217" t="s">
        <v>359</v>
      </c>
      <c r="M217" t="s">
        <v>1647</v>
      </c>
      <c r="N217" t="s">
        <v>1648</v>
      </c>
      <c r="O217" t="s">
        <v>1649</v>
      </c>
      <c r="P217" t="s">
        <v>200</v>
      </c>
      <c r="AA217" t="s">
        <v>1650</v>
      </c>
    </row>
    <row r="218" spans="1:27" x14ac:dyDescent="0.25">
      <c r="A218" t="s">
        <v>1651</v>
      </c>
      <c r="B218" t="s">
        <v>1652</v>
      </c>
      <c r="C218" t="s">
        <v>29</v>
      </c>
      <c r="D218" t="s">
        <v>870</v>
      </c>
      <c r="E218" t="s">
        <v>358</v>
      </c>
      <c r="F218" t="s">
        <v>1288</v>
      </c>
      <c r="G218" t="s">
        <v>1289</v>
      </c>
      <c r="H218" t="str">
        <f>INDEX([1]妻子表!$A:$A,MATCH(F218,[1]妻子表!$B:$B,0))</f>
        <v>M000156W01</v>
      </c>
      <c r="I218" t="str">
        <f>VLOOKUP(H218,[1]妻子表!$A:$D,4,0)</f>
        <v>朱氏</v>
      </c>
      <c r="J218" t="s">
        <v>359</v>
      </c>
      <c r="AA218" t="s">
        <v>1653</v>
      </c>
    </row>
    <row r="219" spans="1:27" x14ac:dyDescent="0.25">
      <c r="A219" t="s">
        <v>1654</v>
      </c>
      <c r="B219" t="s">
        <v>1655</v>
      </c>
      <c r="C219" t="s">
        <v>29</v>
      </c>
      <c r="D219" t="s">
        <v>870</v>
      </c>
      <c r="E219" t="s">
        <v>358</v>
      </c>
      <c r="F219" t="s">
        <v>1288</v>
      </c>
      <c r="G219" t="s">
        <v>1289</v>
      </c>
      <c r="H219" t="str">
        <f>INDEX([1]妻子表!$A:$A,MATCH(F219,[1]妻子表!$B:$B,0))</f>
        <v>M000156W01</v>
      </c>
      <c r="I219" t="str">
        <f>VLOOKUP(H219,[1]妻子表!$A:$D,4,0)</f>
        <v>朱氏</v>
      </c>
      <c r="J219" t="s">
        <v>359</v>
      </c>
      <c r="L219" t="s">
        <v>1656</v>
      </c>
      <c r="M219" t="s">
        <v>1657</v>
      </c>
      <c r="N219" t="s">
        <v>1658</v>
      </c>
      <c r="O219" t="s">
        <v>1659</v>
      </c>
      <c r="P219" t="s">
        <v>257</v>
      </c>
      <c r="Q219" t="s">
        <v>1660</v>
      </c>
      <c r="R219" t="s">
        <v>1233</v>
      </c>
      <c r="S219" t="s">
        <v>1661</v>
      </c>
      <c r="T219" s="2" t="s">
        <v>1662</v>
      </c>
      <c r="U219" t="s">
        <v>1663</v>
      </c>
      <c r="AA219" t="s">
        <v>1664</v>
      </c>
    </row>
    <row r="220" spans="1:27" x14ac:dyDescent="0.25">
      <c r="A220" t="s">
        <v>1665</v>
      </c>
      <c r="B220" t="s">
        <v>1666</v>
      </c>
      <c r="C220" t="s">
        <v>29</v>
      </c>
      <c r="D220" t="s">
        <v>870</v>
      </c>
      <c r="E220" t="s">
        <v>358</v>
      </c>
      <c r="F220" t="s">
        <v>1299</v>
      </c>
      <c r="G220" t="s">
        <v>1300</v>
      </c>
      <c r="H220" t="str">
        <f>INDEX([1]妻子表!$A:$A,MATCH(F220,[1]妻子表!$B:$B,0))</f>
        <v>M000157W01</v>
      </c>
      <c r="I220" t="str">
        <f>VLOOKUP(H220,[1]妻子表!$A:$D,4,0)</f>
        <v>陈氏</v>
      </c>
      <c r="J220" t="s">
        <v>359</v>
      </c>
      <c r="T220" s="2" t="s">
        <v>1667</v>
      </c>
      <c r="U220" t="s">
        <v>942</v>
      </c>
      <c r="AA220" t="s">
        <v>1668</v>
      </c>
    </row>
    <row r="221" spans="1:27" x14ac:dyDescent="0.25">
      <c r="A221" t="s">
        <v>1669</v>
      </c>
      <c r="B221" t="s">
        <v>1670</v>
      </c>
      <c r="C221" t="s">
        <v>29</v>
      </c>
      <c r="D221" t="s">
        <v>870</v>
      </c>
      <c r="E221" t="s">
        <v>358</v>
      </c>
      <c r="F221" t="s">
        <v>1303</v>
      </c>
      <c r="G221" t="s">
        <v>1304</v>
      </c>
      <c r="H221" t="str">
        <f>INDEX([1]妻子表!$A:$A,MATCH(F221,[1]妻子表!$B:$B,0))</f>
        <v>M000158W01</v>
      </c>
      <c r="I221" t="str">
        <f>VLOOKUP(H221,[1]妻子表!$A:$D,4,0)</f>
        <v>杨氏</v>
      </c>
      <c r="J221" t="s">
        <v>359</v>
      </c>
      <c r="T221" s="2" t="s">
        <v>1671</v>
      </c>
      <c r="U221" t="s">
        <v>1221</v>
      </c>
      <c r="AA221" t="s">
        <v>1672</v>
      </c>
    </row>
    <row r="222" spans="1:27" x14ac:dyDescent="0.25">
      <c r="A222" t="s">
        <v>1673</v>
      </c>
      <c r="B222" t="s">
        <v>1674</v>
      </c>
      <c r="C222" t="s">
        <v>29</v>
      </c>
      <c r="D222" t="s">
        <v>870</v>
      </c>
      <c r="E222" t="s">
        <v>358</v>
      </c>
      <c r="F222" t="s">
        <v>1310</v>
      </c>
      <c r="G222" t="s">
        <v>1311</v>
      </c>
      <c r="H222" t="str">
        <f>INDEX([1]妻子表!$A:$A,MATCH(F222,[1]妻子表!$B:$B,0))</f>
        <v>M000159W01</v>
      </c>
      <c r="I222" t="str">
        <f>VLOOKUP(H222,[1]妻子表!$A:$D,4,0)</f>
        <v>某氏</v>
      </c>
      <c r="J222" t="s">
        <v>359</v>
      </c>
      <c r="AA222" t="s">
        <v>489</v>
      </c>
    </row>
    <row r="223" spans="1:27" x14ac:dyDescent="0.25">
      <c r="A223" t="s">
        <v>1675</v>
      </c>
      <c r="B223" t="s">
        <v>1676</v>
      </c>
      <c r="C223" t="s">
        <v>29</v>
      </c>
      <c r="D223" t="s">
        <v>870</v>
      </c>
      <c r="E223" t="s">
        <v>358</v>
      </c>
      <c r="F223" t="s">
        <v>1314</v>
      </c>
      <c r="G223" t="s">
        <v>1315</v>
      </c>
      <c r="H223" t="str">
        <f>INDEX([1]妻子表!$A:$A,MATCH(F223,[1]妻子表!$B:$B,0))</f>
        <v>M000160W01</v>
      </c>
      <c r="I223" t="str">
        <f>VLOOKUP(H223,[1]妻子表!$A:$D,4,0)</f>
        <v>刘氏</v>
      </c>
      <c r="J223" t="s">
        <v>359</v>
      </c>
      <c r="M223" t="s">
        <v>1677</v>
      </c>
      <c r="N223" t="s">
        <v>1678</v>
      </c>
      <c r="O223" t="s">
        <v>1679</v>
      </c>
      <c r="P223" t="s">
        <v>315</v>
      </c>
      <c r="T223" s="2" t="s">
        <v>1680</v>
      </c>
      <c r="U223" t="s">
        <v>942</v>
      </c>
      <c r="AA223" t="s">
        <v>1681</v>
      </c>
    </row>
    <row r="224" spans="1:27" x14ac:dyDescent="0.25">
      <c r="A224" t="s">
        <v>1682</v>
      </c>
      <c r="B224" t="s">
        <v>1683</v>
      </c>
      <c r="C224" t="s">
        <v>29</v>
      </c>
      <c r="D224" t="s">
        <v>870</v>
      </c>
      <c r="E224" t="s">
        <v>358</v>
      </c>
      <c r="F224" t="s">
        <v>1325</v>
      </c>
      <c r="G224" t="s">
        <v>1326</v>
      </c>
      <c r="H224" t="str">
        <f>INDEX([1]妻子表!$A:$A,MATCH(F224,[1]妻子表!$B:$B,0))</f>
        <v>M000161W01</v>
      </c>
      <c r="I224" t="str">
        <f>VLOOKUP(H224,[1]妻子表!$A:$D,4,0)</f>
        <v>彭氏</v>
      </c>
      <c r="J224" t="s">
        <v>359</v>
      </c>
      <c r="K224" t="s">
        <v>416</v>
      </c>
      <c r="L224" t="s">
        <v>542</v>
      </c>
      <c r="M224" t="s">
        <v>1684</v>
      </c>
      <c r="N224" t="s">
        <v>901</v>
      </c>
      <c r="O224" t="s">
        <v>1685</v>
      </c>
      <c r="P224" t="s">
        <v>224</v>
      </c>
      <c r="Q224" t="s">
        <v>1686</v>
      </c>
      <c r="R224" t="s">
        <v>1687</v>
      </c>
      <c r="S224" t="s">
        <v>1688</v>
      </c>
      <c r="T224" s="2" t="s">
        <v>1689</v>
      </c>
      <c r="U224" t="s">
        <v>942</v>
      </c>
      <c r="AA224" t="s">
        <v>1690</v>
      </c>
    </row>
    <row r="225" spans="1:27" x14ac:dyDescent="0.25">
      <c r="A225" t="s">
        <v>1691</v>
      </c>
      <c r="B225" t="s">
        <v>1692</v>
      </c>
      <c r="C225" t="s">
        <v>29</v>
      </c>
      <c r="D225" t="s">
        <v>870</v>
      </c>
      <c r="E225" t="s">
        <v>358</v>
      </c>
      <c r="F225" t="s">
        <v>1325</v>
      </c>
      <c r="G225" t="s">
        <v>1326</v>
      </c>
      <c r="H225" t="str">
        <f>INDEX([1]妻子表!$A:$A,MATCH(F225,[1]妻子表!$B:$B,0))</f>
        <v>M000161W01</v>
      </c>
      <c r="I225" t="str">
        <f>VLOOKUP(H225,[1]妻子表!$A:$D,4,0)</f>
        <v>彭氏</v>
      </c>
      <c r="J225" t="s">
        <v>359</v>
      </c>
      <c r="M225" t="s">
        <v>1693</v>
      </c>
      <c r="N225" t="s">
        <v>962</v>
      </c>
      <c r="O225" t="s">
        <v>1694</v>
      </c>
      <c r="P225" t="s">
        <v>257</v>
      </c>
      <c r="T225" s="2" t="s">
        <v>1695</v>
      </c>
      <c r="U225" t="s">
        <v>942</v>
      </c>
      <c r="AA225" t="s">
        <v>1696</v>
      </c>
    </row>
    <row r="226" spans="1:27" x14ac:dyDescent="0.25">
      <c r="A226" t="s">
        <v>1697</v>
      </c>
      <c r="B226" t="s">
        <v>1698</v>
      </c>
      <c r="C226" t="s">
        <v>29</v>
      </c>
      <c r="D226" t="s">
        <v>870</v>
      </c>
      <c r="E226" t="s">
        <v>358</v>
      </c>
      <c r="F226" t="s">
        <v>1336</v>
      </c>
      <c r="G226" t="s">
        <v>1337</v>
      </c>
      <c r="H226" t="str">
        <f>INDEX([1]妻子表!$A:$A,MATCH(F226,[1]妻子表!$B:$B,0))</f>
        <v>M000162W01</v>
      </c>
      <c r="I226" t="str">
        <f>VLOOKUP(H226,[1]妻子表!$A:$D,4,0)</f>
        <v>刘氏</v>
      </c>
      <c r="J226" t="s">
        <v>359</v>
      </c>
      <c r="K226" t="s">
        <v>1699</v>
      </c>
      <c r="L226" t="s">
        <v>1055</v>
      </c>
      <c r="M226" t="s">
        <v>1700</v>
      </c>
      <c r="N226" t="s">
        <v>984</v>
      </c>
      <c r="O226" t="s">
        <v>1701</v>
      </c>
      <c r="P226" t="s">
        <v>184</v>
      </c>
      <c r="Q226" t="s">
        <v>1702</v>
      </c>
      <c r="R226" t="s">
        <v>1448</v>
      </c>
      <c r="S226" t="s">
        <v>1703</v>
      </c>
      <c r="T226" s="2" t="s">
        <v>1704</v>
      </c>
      <c r="U226" t="s">
        <v>174</v>
      </c>
      <c r="AA226" t="s">
        <v>1705</v>
      </c>
    </row>
    <row r="227" spans="1:27" x14ac:dyDescent="0.25">
      <c r="A227" t="s">
        <v>1706</v>
      </c>
      <c r="B227" t="s">
        <v>1707</v>
      </c>
      <c r="C227" t="s">
        <v>29</v>
      </c>
      <c r="D227" t="s">
        <v>870</v>
      </c>
      <c r="E227" t="s">
        <v>358</v>
      </c>
      <c r="F227" t="s">
        <v>1347</v>
      </c>
      <c r="G227" t="s">
        <v>1348</v>
      </c>
      <c r="H227" t="str">
        <f>INDEX([1]妻子表!$A:$A,MATCH(F227,[1]妻子表!$B:$B,0))</f>
        <v>M000163W01</v>
      </c>
      <c r="I227" t="str">
        <f>VLOOKUP(H227,[1]妻子表!$A:$D,4,0)</f>
        <v>杨氏</v>
      </c>
      <c r="J227" t="s">
        <v>359</v>
      </c>
      <c r="K227" t="s">
        <v>1708</v>
      </c>
      <c r="O227" t="s">
        <v>1709</v>
      </c>
      <c r="T227" s="2" t="s">
        <v>1710</v>
      </c>
      <c r="U227" t="s">
        <v>174</v>
      </c>
      <c r="AA227" t="s">
        <v>1711</v>
      </c>
    </row>
    <row r="228" spans="1:27" x14ac:dyDescent="0.25">
      <c r="A228" t="s">
        <v>1712</v>
      </c>
      <c r="B228" t="s">
        <v>1713</v>
      </c>
      <c r="C228" t="s">
        <v>29</v>
      </c>
      <c r="D228" t="s">
        <v>870</v>
      </c>
      <c r="E228" t="s">
        <v>358</v>
      </c>
      <c r="F228" t="s">
        <v>1347</v>
      </c>
      <c r="G228" t="s">
        <v>1348</v>
      </c>
      <c r="H228" t="str">
        <f>INDEX([1]妻子表!$A:$A,MATCH(F228,[1]妻子表!$B:$B,0))</f>
        <v>M000163W01</v>
      </c>
      <c r="I228" t="str">
        <f>VLOOKUP(H228,[1]妻子表!$A:$D,4,0)</f>
        <v>杨氏</v>
      </c>
      <c r="J228" t="s">
        <v>359</v>
      </c>
      <c r="K228" t="s">
        <v>1708</v>
      </c>
      <c r="M228" t="s">
        <v>1714</v>
      </c>
      <c r="N228" t="s">
        <v>901</v>
      </c>
      <c r="O228" t="s">
        <v>1715</v>
      </c>
      <c r="P228" t="s">
        <v>224</v>
      </c>
      <c r="T228" s="2" t="s">
        <v>1716</v>
      </c>
      <c r="U228" t="s">
        <v>245</v>
      </c>
      <c r="AA228" t="s">
        <v>1717</v>
      </c>
    </row>
    <row r="229" spans="1:27" x14ac:dyDescent="0.25">
      <c r="A229" t="s">
        <v>1718</v>
      </c>
      <c r="B229" t="s">
        <v>1719</v>
      </c>
      <c r="C229" t="s">
        <v>29</v>
      </c>
      <c r="D229" t="s">
        <v>870</v>
      </c>
      <c r="E229" t="s">
        <v>358</v>
      </c>
      <c r="F229" t="s">
        <v>1357</v>
      </c>
      <c r="G229" t="s">
        <v>1358</v>
      </c>
      <c r="H229" t="str">
        <f>INDEX([1]妻子表!$A:$A,MATCH(F229,[1]妻子表!$B:$B,0))</f>
        <v>M000164W01</v>
      </c>
      <c r="I229" t="str">
        <f>VLOOKUP(H229,[1]妻子表!$A:$D,4,0)</f>
        <v>彭氏</v>
      </c>
      <c r="J229" t="s">
        <v>359</v>
      </c>
      <c r="M229" t="s">
        <v>1720</v>
      </c>
      <c r="N229" t="s">
        <v>1000</v>
      </c>
      <c r="O229" t="s">
        <v>330</v>
      </c>
      <c r="P229" t="s">
        <v>315</v>
      </c>
      <c r="AA229" t="s">
        <v>1721</v>
      </c>
    </row>
    <row r="230" spans="1:27" x14ac:dyDescent="0.25">
      <c r="A230" t="s">
        <v>1722</v>
      </c>
      <c r="B230" t="s">
        <v>1723</v>
      </c>
      <c r="C230" t="s">
        <v>29</v>
      </c>
      <c r="D230" t="s">
        <v>870</v>
      </c>
      <c r="E230" t="s">
        <v>358</v>
      </c>
      <c r="F230" t="s">
        <v>1357</v>
      </c>
      <c r="G230" t="s">
        <v>1358</v>
      </c>
      <c r="H230" t="str">
        <f>INDEX([1]妻子表!$A:$A,MATCH(F230,[1]妻子表!$B:$B,0))</f>
        <v>M000164W01</v>
      </c>
      <c r="I230" t="str">
        <f>VLOOKUP(H230,[1]妻子表!$A:$D,4,0)</f>
        <v>彭氏</v>
      </c>
      <c r="J230" t="s">
        <v>359</v>
      </c>
      <c r="M230" t="s">
        <v>1724</v>
      </c>
      <c r="N230" t="s">
        <v>1725</v>
      </c>
      <c r="O230" t="s">
        <v>1726</v>
      </c>
      <c r="P230" t="s">
        <v>224</v>
      </c>
      <c r="AA230" t="s">
        <v>1727</v>
      </c>
    </row>
    <row r="231" spans="1:27" x14ac:dyDescent="0.25">
      <c r="A231" t="s">
        <v>1728</v>
      </c>
      <c r="B231" t="s">
        <v>1729</v>
      </c>
      <c r="C231" t="s">
        <v>29</v>
      </c>
      <c r="D231" t="s">
        <v>870</v>
      </c>
      <c r="E231" t="s">
        <v>358</v>
      </c>
      <c r="F231" t="s">
        <v>1363</v>
      </c>
      <c r="G231" t="s">
        <v>1364</v>
      </c>
      <c r="H231" t="str">
        <f>INDEX([1]妻子表!$A:$A,MATCH(F231,[1]妻子表!$B:$B,0))</f>
        <v>M000165W01</v>
      </c>
      <c r="I231" t="str">
        <f>VLOOKUP(H231,[1]妻子表!$A:$D,4,0)</f>
        <v>肖氏</v>
      </c>
      <c r="J231" t="s">
        <v>359</v>
      </c>
      <c r="M231" t="s">
        <v>1730</v>
      </c>
      <c r="N231" t="s">
        <v>1159</v>
      </c>
      <c r="O231" t="s">
        <v>1731</v>
      </c>
      <c r="P231" t="s">
        <v>315</v>
      </c>
      <c r="AA231" t="s">
        <v>1732</v>
      </c>
    </row>
    <row r="232" spans="1:27" x14ac:dyDescent="0.25">
      <c r="A232" t="s">
        <v>1733</v>
      </c>
      <c r="B232" t="s">
        <v>1734</v>
      </c>
      <c r="C232" t="s">
        <v>29</v>
      </c>
      <c r="D232" t="s">
        <v>870</v>
      </c>
      <c r="E232" t="s">
        <v>358</v>
      </c>
      <c r="F232" t="s">
        <v>1371</v>
      </c>
      <c r="G232" t="s">
        <v>1372</v>
      </c>
      <c r="H232" t="str">
        <f>INDEX([1]妻子表!$A:$A,MATCH(F232,[1]妻子表!$B:$B,0))</f>
        <v>M000166W01</v>
      </c>
      <c r="I232" t="str">
        <f>VLOOKUP(H232,[1]妻子表!$A:$D,4,0)</f>
        <v>旷氏</v>
      </c>
      <c r="J232" t="s">
        <v>359</v>
      </c>
      <c r="K232" t="s">
        <v>1735</v>
      </c>
      <c r="L232" t="s">
        <v>1228</v>
      </c>
      <c r="M232" t="s">
        <v>1736</v>
      </c>
      <c r="N232" t="s">
        <v>1737</v>
      </c>
      <c r="O232" t="s">
        <v>1738</v>
      </c>
      <c r="P232" t="s">
        <v>240</v>
      </c>
      <c r="Q232" t="s">
        <v>1739</v>
      </c>
      <c r="R232" t="s">
        <v>1740</v>
      </c>
      <c r="S232" t="s">
        <v>1741</v>
      </c>
      <c r="T232" s="2" t="s">
        <v>1742</v>
      </c>
      <c r="U232" t="s">
        <v>777</v>
      </c>
      <c r="AA232" t="s">
        <v>1743</v>
      </c>
    </row>
    <row r="233" spans="1:27" x14ac:dyDescent="0.25">
      <c r="A233" t="s">
        <v>1744</v>
      </c>
      <c r="B233" t="s">
        <v>1745</v>
      </c>
      <c r="C233" t="s">
        <v>29</v>
      </c>
      <c r="D233" t="s">
        <v>870</v>
      </c>
      <c r="E233" t="s">
        <v>358</v>
      </c>
      <c r="F233" t="s">
        <v>1371</v>
      </c>
      <c r="G233" t="s">
        <v>1372</v>
      </c>
      <c r="H233" t="str">
        <f>INDEX([1]妻子表!$A:$A,MATCH(F233,[1]妻子表!$B:$B,0))</f>
        <v>M000166W01</v>
      </c>
      <c r="I233" t="str">
        <f>VLOOKUP(H233,[1]妻子表!$A:$D,4,0)</f>
        <v>旷氏</v>
      </c>
      <c r="J233" t="s">
        <v>359</v>
      </c>
      <c r="T233" s="2" t="s">
        <v>1746</v>
      </c>
      <c r="U233" t="s">
        <v>174</v>
      </c>
      <c r="AA233" t="s">
        <v>1747</v>
      </c>
    </row>
    <row r="234" spans="1:27" x14ac:dyDescent="0.25">
      <c r="A234" t="s">
        <v>1748</v>
      </c>
      <c r="B234" t="s">
        <v>1749</v>
      </c>
      <c r="C234" t="s">
        <v>29</v>
      </c>
      <c r="D234" t="s">
        <v>870</v>
      </c>
      <c r="E234" t="s">
        <v>358</v>
      </c>
      <c r="F234" t="s">
        <v>1371</v>
      </c>
      <c r="G234" t="s">
        <v>1372</v>
      </c>
      <c r="H234" t="str">
        <f>INDEX([1]妻子表!$A:$A,MATCH(F234,[1]妻子表!$B:$B,0))</f>
        <v>M000166W01</v>
      </c>
      <c r="I234" t="str">
        <f>VLOOKUP(H234,[1]妻子表!$A:$D,4,0)</f>
        <v>旷氏</v>
      </c>
      <c r="J234" t="s">
        <v>359</v>
      </c>
      <c r="K234" t="s">
        <v>1750</v>
      </c>
      <c r="L234" t="s">
        <v>1508</v>
      </c>
      <c r="M234" t="s">
        <v>1751</v>
      </c>
      <c r="N234" t="s">
        <v>1252</v>
      </c>
      <c r="O234" t="s">
        <v>1752</v>
      </c>
      <c r="P234" t="s">
        <v>184</v>
      </c>
      <c r="Q234" t="s">
        <v>1753</v>
      </c>
      <c r="R234" t="s">
        <v>1754</v>
      </c>
      <c r="S234" t="s">
        <v>1755</v>
      </c>
      <c r="T234" s="2" t="s">
        <v>1756</v>
      </c>
      <c r="U234" t="s">
        <v>174</v>
      </c>
      <c r="AA234" t="s">
        <v>1757</v>
      </c>
    </row>
    <row r="235" spans="1:27" x14ac:dyDescent="0.25">
      <c r="A235" t="s">
        <v>1758</v>
      </c>
      <c r="B235" t="s">
        <v>1759</v>
      </c>
      <c r="C235" t="s">
        <v>29</v>
      </c>
      <c r="D235" t="s">
        <v>870</v>
      </c>
      <c r="E235" t="s">
        <v>358</v>
      </c>
      <c r="F235" t="s">
        <v>1387</v>
      </c>
      <c r="G235" t="s">
        <v>1388</v>
      </c>
      <c r="H235" t="str">
        <f>INDEX([1]妻子表!$A:$A,MATCH(F235,[1]妻子表!$B:$B,0))</f>
        <v>M000169W01</v>
      </c>
      <c r="I235" t="str">
        <f>VLOOKUP(H235,[1]妻子表!$A:$D,4,0)</f>
        <v>龙氏</v>
      </c>
      <c r="J235" t="s">
        <v>359</v>
      </c>
      <c r="AA235" t="s">
        <v>1760</v>
      </c>
    </row>
    <row r="236" spans="1:27" x14ac:dyDescent="0.25">
      <c r="A236" t="s">
        <v>1761</v>
      </c>
      <c r="B236" t="s">
        <v>1762</v>
      </c>
      <c r="C236" t="s">
        <v>29</v>
      </c>
      <c r="D236" t="s">
        <v>870</v>
      </c>
      <c r="E236" t="s">
        <v>358</v>
      </c>
      <c r="F236" t="s">
        <v>1387</v>
      </c>
      <c r="G236" t="s">
        <v>1388</v>
      </c>
      <c r="H236" t="str">
        <f>INDEX([1]妻子表!$A:$A,MATCH(F236,[1]妻子表!$B:$B,0))</f>
        <v>M000169W01</v>
      </c>
      <c r="I236" t="str">
        <f>VLOOKUP(H236,[1]妻子表!$A:$D,4,0)</f>
        <v>龙氏</v>
      </c>
      <c r="J236" t="s">
        <v>359</v>
      </c>
      <c r="M236" t="s">
        <v>1763</v>
      </c>
      <c r="N236" t="s">
        <v>1036</v>
      </c>
      <c r="O236" t="s">
        <v>1764</v>
      </c>
      <c r="P236" t="s">
        <v>108</v>
      </c>
      <c r="AA236" t="s">
        <v>1765</v>
      </c>
    </row>
    <row r="237" spans="1:27" x14ac:dyDescent="0.25">
      <c r="A237" t="s">
        <v>1766</v>
      </c>
      <c r="B237" t="s">
        <v>1767</v>
      </c>
      <c r="C237" t="s">
        <v>29</v>
      </c>
      <c r="D237" t="s">
        <v>870</v>
      </c>
      <c r="E237" t="s">
        <v>358</v>
      </c>
      <c r="F237" t="s">
        <v>1397</v>
      </c>
      <c r="G237" t="s">
        <v>1398</v>
      </c>
      <c r="H237" t="str">
        <f>INDEX([1]妻子表!$A:$A,MATCH(F237,[1]妻子表!$B:$B,0))</f>
        <v>M000170W01</v>
      </c>
      <c r="I237" t="str">
        <f>VLOOKUP(H237,[1]妻子表!$A:$D,4,0)</f>
        <v>陈氏</v>
      </c>
      <c r="J237" t="s">
        <v>359</v>
      </c>
      <c r="AA237" t="s">
        <v>1768</v>
      </c>
    </row>
    <row r="238" spans="1:27" x14ac:dyDescent="0.25">
      <c r="A238" t="s">
        <v>1769</v>
      </c>
      <c r="B238" t="s">
        <v>1770</v>
      </c>
      <c r="C238" t="s">
        <v>29</v>
      </c>
      <c r="D238" t="s">
        <v>870</v>
      </c>
      <c r="E238" t="s">
        <v>358</v>
      </c>
      <c r="F238" t="s">
        <v>1397</v>
      </c>
      <c r="G238" t="s">
        <v>1398</v>
      </c>
      <c r="H238" t="str">
        <f>INDEX([1]妻子表!$A:$A,MATCH(F238,[1]妻子表!$B:$B,0))</f>
        <v>M000170W01</v>
      </c>
      <c r="I238" t="str">
        <f>VLOOKUP(H238,[1]妻子表!$A:$D,4,0)</f>
        <v>陈氏</v>
      </c>
      <c r="J238" t="s">
        <v>359</v>
      </c>
      <c r="L238" t="s">
        <v>374</v>
      </c>
      <c r="M238" t="s">
        <v>1771</v>
      </c>
      <c r="N238" t="s">
        <v>1036</v>
      </c>
      <c r="O238" t="s">
        <v>1772</v>
      </c>
      <c r="P238" t="s">
        <v>108</v>
      </c>
      <c r="Q238" t="s">
        <v>1773</v>
      </c>
      <c r="R238" t="s">
        <v>1774</v>
      </c>
      <c r="S238" t="s">
        <v>1775</v>
      </c>
      <c r="T238" s="2" t="s">
        <v>1776</v>
      </c>
      <c r="U238" t="s">
        <v>95</v>
      </c>
      <c r="AA238" t="s">
        <v>1777</v>
      </c>
    </row>
    <row r="239" spans="1:27" x14ac:dyDescent="0.25">
      <c r="A239" t="s">
        <v>1778</v>
      </c>
      <c r="B239" t="s">
        <v>1779</v>
      </c>
      <c r="C239" t="s">
        <v>29</v>
      </c>
      <c r="D239" t="s">
        <v>870</v>
      </c>
      <c r="E239" t="s">
        <v>358</v>
      </c>
      <c r="F239" t="s">
        <v>1413</v>
      </c>
      <c r="G239" t="s">
        <v>1414</v>
      </c>
      <c r="H239" t="str">
        <f>INDEX([1]妻子表!$A:$A,MATCH(F239,[1]妻子表!$B:$B,0))</f>
        <v>M000173W01</v>
      </c>
      <c r="I239" t="str">
        <f>VLOOKUP(H239,[1]妻子表!$A:$D,4,0)</f>
        <v>刘氏</v>
      </c>
      <c r="J239" t="s">
        <v>359</v>
      </c>
      <c r="AA239" t="s">
        <v>1760</v>
      </c>
    </row>
    <row r="240" spans="1:27" x14ac:dyDescent="0.25">
      <c r="A240" t="s">
        <v>1780</v>
      </c>
      <c r="B240" t="s">
        <v>1781</v>
      </c>
      <c r="C240" t="s">
        <v>29</v>
      </c>
      <c r="D240" t="s">
        <v>870</v>
      </c>
      <c r="E240" t="s">
        <v>358</v>
      </c>
      <c r="F240" t="s">
        <v>1413</v>
      </c>
      <c r="G240" t="s">
        <v>1414</v>
      </c>
      <c r="H240" t="str">
        <f>INDEX([1]妻子表!$A:$A,MATCH(F240,[1]妻子表!$B:$B,0))</f>
        <v>M000173W01</v>
      </c>
      <c r="I240" t="str">
        <f>VLOOKUP(H240,[1]妻子表!$A:$D,4,0)</f>
        <v>刘氏</v>
      </c>
      <c r="J240" t="s">
        <v>359</v>
      </c>
      <c r="M240" t="s">
        <v>1782</v>
      </c>
      <c r="N240" t="s">
        <v>1492</v>
      </c>
      <c r="O240" t="s">
        <v>1783</v>
      </c>
      <c r="P240" t="s">
        <v>240</v>
      </c>
      <c r="T240" s="2" t="s">
        <v>1784</v>
      </c>
      <c r="U240" t="s">
        <v>1785</v>
      </c>
      <c r="AA240" t="s">
        <v>1786</v>
      </c>
    </row>
    <row r="241" spans="1:27" x14ac:dyDescent="0.25">
      <c r="A241" t="s">
        <v>1787</v>
      </c>
      <c r="B241" t="s">
        <v>1788</v>
      </c>
      <c r="C241" t="s">
        <v>29</v>
      </c>
      <c r="D241" t="s">
        <v>870</v>
      </c>
      <c r="E241" t="s">
        <v>358</v>
      </c>
      <c r="F241" t="s">
        <v>1413</v>
      </c>
      <c r="G241" t="s">
        <v>1414</v>
      </c>
      <c r="H241" t="str">
        <f>INDEX([1]妻子表!$A:$A,MATCH(F241,[1]妻子表!$B:$B,0))</f>
        <v>M000173W01</v>
      </c>
      <c r="I241" t="str">
        <f>VLOOKUP(H241,[1]妻子表!$A:$D,4,0)</f>
        <v>刘氏</v>
      </c>
      <c r="J241" t="s">
        <v>359</v>
      </c>
      <c r="M241" t="s">
        <v>1789</v>
      </c>
      <c r="N241" t="s">
        <v>1790</v>
      </c>
      <c r="O241" t="s">
        <v>1791</v>
      </c>
      <c r="P241" t="s">
        <v>257</v>
      </c>
      <c r="T241" s="2" t="s">
        <v>1792</v>
      </c>
      <c r="U241" t="s">
        <v>245</v>
      </c>
      <c r="AA241" t="s">
        <v>1793</v>
      </c>
    </row>
    <row r="242" spans="1:27" x14ac:dyDescent="0.25">
      <c r="A242" t="s">
        <v>1794</v>
      </c>
      <c r="B242" t="s">
        <v>1795</v>
      </c>
      <c r="C242" t="s">
        <v>29</v>
      </c>
      <c r="D242" t="s">
        <v>870</v>
      </c>
      <c r="E242" t="s">
        <v>358</v>
      </c>
      <c r="F242" t="s">
        <v>1413</v>
      </c>
      <c r="G242" t="s">
        <v>1414</v>
      </c>
      <c r="H242" t="str">
        <f>INDEX([1]妻子表!$A:$A,MATCH(F242,[1]妻子表!$B:$B,0))</f>
        <v>M000173W01</v>
      </c>
      <c r="I242" t="str">
        <f>VLOOKUP(H242,[1]妻子表!$A:$D,4,0)</f>
        <v>刘氏</v>
      </c>
      <c r="J242" t="s">
        <v>359</v>
      </c>
      <c r="M242" t="s">
        <v>1796</v>
      </c>
      <c r="N242" t="s">
        <v>1797</v>
      </c>
      <c r="O242" t="s">
        <v>1798</v>
      </c>
      <c r="P242" t="s">
        <v>184</v>
      </c>
      <c r="AA242" t="s">
        <v>1799</v>
      </c>
    </row>
    <row r="243" spans="1:27" x14ac:dyDescent="0.25">
      <c r="A243" t="s">
        <v>1800</v>
      </c>
      <c r="B243" t="s">
        <v>1801</v>
      </c>
      <c r="C243" t="s">
        <v>29</v>
      </c>
      <c r="D243" t="s">
        <v>870</v>
      </c>
      <c r="E243" t="s">
        <v>358</v>
      </c>
      <c r="F243" t="s">
        <v>1425</v>
      </c>
      <c r="G243" t="s">
        <v>1426</v>
      </c>
      <c r="H243" t="str">
        <f>INDEX([1]妻子表!$A:$A,MATCH(F243,[1]妻子表!$B:$B,0))</f>
        <v>M000174W01</v>
      </c>
      <c r="I243" t="str">
        <f>VLOOKUP(H243,[1]妻子表!$A:$D,4,0)</f>
        <v>王氏</v>
      </c>
      <c r="J243" t="s">
        <v>359</v>
      </c>
      <c r="K243" t="s">
        <v>1042</v>
      </c>
      <c r="M243" t="s">
        <v>1802</v>
      </c>
      <c r="N243" t="s">
        <v>1803</v>
      </c>
      <c r="O243" t="s">
        <v>1804</v>
      </c>
      <c r="P243" t="s">
        <v>240</v>
      </c>
      <c r="T243" s="2" t="s">
        <v>1805</v>
      </c>
      <c r="U243" t="s">
        <v>95</v>
      </c>
      <c r="AA243" t="s">
        <v>1806</v>
      </c>
    </row>
    <row r="244" spans="1:27" x14ac:dyDescent="0.25">
      <c r="A244" t="s">
        <v>1807</v>
      </c>
      <c r="B244" t="s">
        <v>1808</v>
      </c>
      <c r="C244" t="s">
        <v>29</v>
      </c>
      <c r="D244" t="s">
        <v>870</v>
      </c>
      <c r="E244" t="s">
        <v>358</v>
      </c>
      <c r="F244" t="s">
        <v>1425</v>
      </c>
      <c r="G244" t="s">
        <v>1426</v>
      </c>
      <c r="H244" t="str">
        <f>INDEX([1]妻子表!$A:$A,MATCH(F244,[1]妻子表!$B:$B,0))</f>
        <v>M000174W01</v>
      </c>
      <c r="I244" t="str">
        <f>VLOOKUP(H244,[1]妻子表!$A:$D,4,0)</f>
        <v>王氏</v>
      </c>
      <c r="J244" t="s">
        <v>359</v>
      </c>
      <c r="M244" t="s">
        <v>1809</v>
      </c>
      <c r="N244" t="s">
        <v>1492</v>
      </c>
      <c r="O244" t="s">
        <v>1810</v>
      </c>
      <c r="P244" t="s">
        <v>240</v>
      </c>
      <c r="T244" s="2" t="s">
        <v>1811</v>
      </c>
      <c r="U244" t="s">
        <v>174</v>
      </c>
      <c r="AA244" t="s">
        <v>1812</v>
      </c>
    </row>
    <row r="245" spans="1:27" x14ac:dyDescent="0.25">
      <c r="A245" t="s">
        <v>1813</v>
      </c>
      <c r="B245" t="s">
        <v>1814</v>
      </c>
      <c r="C245" t="s">
        <v>29</v>
      </c>
      <c r="D245" t="s">
        <v>870</v>
      </c>
      <c r="E245" t="s">
        <v>358</v>
      </c>
      <c r="F245" t="s">
        <v>1432</v>
      </c>
      <c r="G245" t="s">
        <v>1433</v>
      </c>
      <c r="H245" t="str">
        <f>INDEX([1]妻子表!$A:$A,MATCH(F245,[1]妻子表!$B:$B,0))</f>
        <v>M000175W01</v>
      </c>
      <c r="I245" t="str">
        <f>VLOOKUP(H245,[1]妻子表!$A:$D,4,0)</f>
        <v>刘氏</v>
      </c>
      <c r="J245" t="s">
        <v>359</v>
      </c>
      <c r="M245" t="s">
        <v>1815</v>
      </c>
      <c r="N245" t="s">
        <v>1482</v>
      </c>
      <c r="O245" t="s">
        <v>1816</v>
      </c>
      <c r="P245" t="s">
        <v>200</v>
      </c>
      <c r="AA245" t="s">
        <v>1817</v>
      </c>
    </row>
    <row r="246" spans="1:27" x14ac:dyDescent="0.25">
      <c r="A246" t="s">
        <v>1818</v>
      </c>
      <c r="B246" t="s">
        <v>1819</v>
      </c>
      <c r="C246" t="s">
        <v>29</v>
      </c>
      <c r="D246" t="s">
        <v>870</v>
      </c>
      <c r="E246" t="s">
        <v>358</v>
      </c>
      <c r="F246" t="s">
        <v>1432</v>
      </c>
      <c r="G246" t="s">
        <v>1433</v>
      </c>
      <c r="H246" t="str">
        <f>INDEX([1]妻子表!$A:$A,MATCH(F246,[1]妻子表!$B:$B,0))</f>
        <v>M000175W01</v>
      </c>
      <c r="I246" t="str">
        <f>VLOOKUP(H246,[1]妻子表!$A:$D,4,0)</f>
        <v>刘氏</v>
      </c>
      <c r="J246" t="s">
        <v>359</v>
      </c>
      <c r="M246" t="s">
        <v>1820</v>
      </c>
      <c r="N246" t="s">
        <v>1803</v>
      </c>
      <c r="O246" t="s">
        <v>1821</v>
      </c>
      <c r="P246" t="s">
        <v>240</v>
      </c>
      <c r="AA246" t="s">
        <v>1822</v>
      </c>
    </row>
    <row r="247" spans="1:27" x14ac:dyDescent="0.25">
      <c r="A247" t="s">
        <v>1823</v>
      </c>
      <c r="B247" t="s">
        <v>1824</v>
      </c>
      <c r="C247" t="s">
        <v>29</v>
      </c>
      <c r="D247" t="s">
        <v>870</v>
      </c>
      <c r="E247" t="s">
        <v>358</v>
      </c>
      <c r="F247" t="s">
        <v>1432</v>
      </c>
      <c r="G247" t="s">
        <v>1433</v>
      </c>
      <c r="H247" t="str">
        <f>INDEX([1]妻子表!$A:$A,MATCH(F247,[1]妻子表!$B:$B,0))</f>
        <v>M000175W01</v>
      </c>
      <c r="I247" t="str">
        <f>VLOOKUP(H247,[1]妻子表!$A:$D,4,0)</f>
        <v>刘氏</v>
      </c>
      <c r="J247" t="s">
        <v>359</v>
      </c>
      <c r="AA247" t="s">
        <v>489</v>
      </c>
    </row>
    <row r="248" spans="1:27" x14ac:dyDescent="0.25">
      <c r="A248" t="s">
        <v>1825</v>
      </c>
      <c r="B248" t="s">
        <v>1826</v>
      </c>
      <c r="C248" t="s">
        <v>29</v>
      </c>
      <c r="D248" t="s">
        <v>870</v>
      </c>
      <c r="E248" t="s">
        <v>358</v>
      </c>
      <c r="F248" t="s">
        <v>1442</v>
      </c>
      <c r="G248" t="s">
        <v>1443</v>
      </c>
      <c r="H248" t="str">
        <f>INDEX([1]妻子表!$A:$A,MATCH(F248,[1]妻子表!$B:$B,0))</f>
        <v>M000176W01</v>
      </c>
      <c r="I248" t="str">
        <f>VLOOKUP(H248,[1]妻子表!$A:$D,4,0)</f>
        <v>王氏</v>
      </c>
      <c r="J248" t="s">
        <v>359</v>
      </c>
      <c r="AA248" t="s">
        <v>489</v>
      </c>
    </row>
    <row r="249" spans="1:27" x14ac:dyDescent="0.25">
      <c r="A249" t="s">
        <v>1827</v>
      </c>
      <c r="B249" t="s">
        <v>1828</v>
      </c>
      <c r="C249" t="s">
        <v>29</v>
      </c>
      <c r="D249" t="s">
        <v>870</v>
      </c>
      <c r="E249" t="s">
        <v>358</v>
      </c>
      <c r="F249" t="s">
        <v>1442</v>
      </c>
      <c r="G249" t="s">
        <v>1443</v>
      </c>
      <c r="H249" t="str">
        <f>INDEX([1]妻子表!$A:$A,MATCH(F249,[1]妻子表!$B:$B,0))</f>
        <v>M000176W01</v>
      </c>
      <c r="I249" t="str">
        <f>VLOOKUP(H249,[1]妻子表!$A:$D,4,0)</f>
        <v>王氏</v>
      </c>
      <c r="J249" t="s">
        <v>359</v>
      </c>
      <c r="AA249" t="s">
        <v>489</v>
      </c>
    </row>
    <row r="250" spans="1:27" x14ac:dyDescent="0.25">
      <c r="A250" t="s">
        <v>1829</v>
      </c>
      <c r="B250" t="s">
        <v>1830</v>
      </c>
      <c r="C250" t="s">
        <v>29</v>
      </c>
      <c r="D250" t="s">
        <v>870</v>
      </c>
      <c r="E250" t="s">
        <v>358</v>
      </c>
      <c r="F250" t="s">
        <v>1442</v>
      </c>
      <c r="G250" t="s">
        <v>1443</v>
      </c>
      <c r="H250" t="str">
        <f>INDEX([1]妻子表!$A:$A,MATCH(F250,[1]妻子表!$B:$B,0))</f>
        <v>M000176W01</v>
      </c>
      <c r="I250" t="str">
        <f>VLOOKUP(H250,[1]妻子表!$A:$D,4,0)</f>
        <v>王氏</v>
      </c>
      <c r="J250" t="s">
        <v>359</v>
      </c>
      <c r="AA250" t="s">
        <v>489</v>
      </c>
    </row>
    <row r="251" spans="1:27" x14ac:dyDescent="0.25">
      <c r="A251" t="s">
        <v>1831</v>
      </c>
      <c r="B251" t="s">
        <v>1832</v>
      </c>
      <c r="C251" t="s">
        <v>29</v>
      </c>
      <c r="D251" t="s">
        <v>870</v>
      </c>
      <c r="E251" t="s">
        <v>358</v>
      </c>
      <c r="F251" t="s">
        <v>1442</v>
      </c>
      <c r="G251" t="s">
        <v>1443</v>
      </c>
      <c r="H251" t="str">
        <f>INDEX([1]妻子表!$A:$A,MATCH(F251,[1]妻子表!$B:$B,0))</f>
        <v>M000176W01</v>
      </c>
      <c r="I251" t="str">
        <f>VLOOKUP(H251,[1]妻子表!$A:$D,4,0)</f>
        <v>王氏</v>
      </c>
      <c r="J251" t="s">
        <v>359</v>
      </c>
      <c r="AA251" t="s">
        <v>489</v>
      </c>
    </row>
    <row r="252" spans="1:27" x14ac:dyDescent="0.25">
      <c r="A252" t="s">
        <v>1833</v>
      </c>
      <c r="B252" t="s">
        <v>1834</v>
      </c>
      <c r="C252" t="s">
        <v>29</v>
      </c>
      <c r="D252" t="s">
        <v>870</v>
      </c>
      <c r="E252" t="s">
        <v>358</v>
      </c>
      <c r="F252" t="s">
        <v>1452</v>
      </c>
      <c r="G252" t="s">
        <v>1453</v>
      </c>
      <c r="H252" t="str">
        <f>INDEX([1]妻子表!$A:$A,MATCH(F252,[1]妻子表!$B:$B,0))</f>
        <v>M000177W01</v>
      </c>
      <c r="I252" t="str">
        <f>VLOOKUP(H252,[1]妻子表!$A:$D,4,0)</f>
        <v>刘氏</v>
      </c>
      <c r="J252" t="s">
        <v>359</v>
      </c>
      <c r="K252" t="s">
        <v>1835</v>
      </c>
      <c r="L252" t="s">
        <v>860</v>
      </c>
      <c r="M252" t="s">
        <v>1836</v>
      </c>
      <c r="N252" t="s">
        <v>1837</v>
      </c>
      <c r="O252" t="s">
        <v>1838</v>
      </c>
      <c r="P252" t="s">
        <v>601</v>
      </c>
      <c r="Q252" t="s">
        <v>1839</v>
      </c>
      <c r="R252" t="s">
        <v>1159</v>
      </c>
      <c r="S252" t="s">
        <v>1840</v>
      </c>
      <c r="T252" s="2" t="s">
        <v>1841</v>
      </c>
      <c r="U252" t="s">
        <v>1842</v>
      </c>
      <c r="AA252" t="s">
        <v>1843</v>
      </c>
    </row>
    <row r="253" spans="1:27" x14ac:dyDescent="0.25">
      <c r="A253" t="s">
        <v>1844</v>
      </c>
      <c r="B253" t="s">
        <v>1845</v>
      </c>
      <c r="C253" t="s">
        <v>29</v>
      </c>
      <c r="D253" t="s">
        <v>1846</v>
      </c>
      <c r="E253" t="s">
        <v>358</v>
      </c>
      <c r="F253" t="s">
        <v>1467</v>
      </c>
      <c r="G253" t="s">
        <v>1468</v>
      </c>
      <c r="H253" t="str">
        <f>INDEX([1]妻子表!$A:$A,MATCH(F253,[1]妻子表!$B:$B,0))</f>
        <v>M000180W01</v>
      </c>
      <c r="I253" t="str">
        <f>VLOOKUP(H253,[1]妻子表!$A:$D,4,0)</f>
        <v>刘氏</v>
      </c>
      <c r="J253" t="s">
        <v>359</v>
      </c>
      <c r="M253" t="s">
        <v>1847</v>
      </c>
      <c r="N253" t="s">
        <v>1571</v>
      </c>
      <c r="O253" t="s">
        <v>1848</v>
      </c>
      <c r="P253" t="s">
        <v>240</v>
      </c>
      <c r="T253" s="2" t="s">
        <v>1849</v>
      </c>
      <c r="U253" t="s">
        <v>174</v>
      </c>
      <c r="AA253" t="s">
        <v>1850</v>
      </c>
    </row>
    <row r="254" spans="1:27" x14ac:dyDescent="0.25">
      <c r="A254" t="s">
        <v>1851</v>
      </c>
      <c r="B254" t="s">
        <v>1852</v>
      </c>
      <c r="C254" t="s">
        <v>29</v>
      </c>
      <c r="D254" t="s">
        <v>1846</v>
      </c>
      <c r="E254" t="s">
        <v>358</v>
      </c>
      <c r="F254" t="s">
        <v>1467</v>
      </c>
      <c r="G254" t="s">
        <v>1468</v>
      </c>
      <c r="H254" t="str">
        <f>INDEX([1]妻子表!$A:$A,MATCH(F254,[1]妻子表!$B:$B,0))</f>
        <v>M000180W01</v>
      </c>
      <c r="I254" t="str">
        <f>VLOOKUP(H254,[1]妻子表!$A:$D,4,0)</f>
        <v>刘氏</v>
      </c>
      <c r="J254" t="s">
        <v>359</v>
      </c>
      <c r="T254" s="2" t="s">
        <v>1853</v>
      </c>
      <c r="U254" t="s">
        <v>174</v>
      </c>
      <c r="AA254" t="s">
        <v>1854</v>
      </c>
    </row>
    <row r="255" spans="1:27" ht="31.5" customHeight="1" x14ac:dyDescent="0.25">
      <c r="A255" t="s">
        <v>1855</v>
      </c>
      <c r="B255" t="s">
        <v>1856</v>
      </c>
      <c r="C255" t="s">
        <v>29</v>
      </c>
      <c r="D255" t="s">
        <v>1846</v>
      </c>
      <c r="E255" t="s">
        <v>358</v>
      </c>
      <c r="F255" t="s">
        <v>1477</v>
      </c>
      <c r="G255" t="s">
        <v>1478</v>
      </c>
      <c r="H255" t="str">
        <f>INDEX([1]妻子表!$A:$A,MATCH(F255,[1]妻子表!$B:$B,0))</f>
        <v>M000181W01</v>
      </c>
      <c r="I255" t="str">
        <f>VLOOKUP(H255,[1]妻子表!$A:$D,4,0)</f>
        <v>唐氏</v>
      </c>
      <c r="J255" t="s">
        <v>359</v>
      </c>
      <c r="M255" t="s">
        <v>1857</v>
      </c>
      <c r="N255" t="s">
        <v>1532</v>
      </c>
      <c r="O255" t="s">
        <v>1858</v>
      </c>
      <c r="P255" t="s">
        <v>184</v>
      </c>
      <c r="T255" s="2" t="s">
        <v>1859</v>
      </c>
      <c r="U255" t="s">
        <v>1860</v>
      </c>
      <c r="AA255" t="s">
        <v>1861</v>
      </c>
    </row>
    <row r="256" spans="1:27" x14ac:dyDescent="0.25">
      <c r="A256" t="s">
        <v>1862</v>
      </c>
      <c r="B256" t="s">
        <v>1863</v>
      </c>
      <c r="C256" t="s">
        <v>29</v>
      </c>
      <c r="D256" t="s">
        <v>1846</v>
      </c>
      <c r="E256" t="s">
        <v>358</v>
      </c>
      <c r="F256" t="s">
        <v>1487</v>
      </c>
      <c r="G256" t="s">
        <v>1488</v>
      </c>
      <c r="H256" t="str">
        <f>INDEX([1]妻子表!$A:$A,MATCH(F256,[1]妻子表!$B:$B,0))</f>
        <v>M000182W01</v>
      </c>
      <c r="I256" t="str">
        <f>VLOOKUP(H256,[1]妻子表!$A:$D,4,0)</f>
        <v>李氏</v>
      </c>
      <c r="J256" t="s">
        <v>359</v>
      </c>
      <c r="K256" t="s">
        <v>1138</v>
      </c>
      <c r="L256" t="s">
        <v>1864</v>
      </c>
      <c r="M256" t="s">
        <v>1865</v>
      </c>
      <c r="N256" t="s">
        <v>1284</v>
      </c>
      <c r="O256" t="s">
        <v>1866</v>
      </c>
      <c r="P256" t="s">
        <v>497</v>
      </c>
      <c r="Q256" t="s">
        <v>1867</v>
      </c>
      <c r="R256" t="s">
        <v>1868</v>
      </c>
      <c r="S256" t="s">
        <v>1869</v>
      </c>
      <c r="T256" s="2" t="s">
        <v>1870</v>
      </c>
      <c r="U256" t="s">
        <v>1871</v>
      </c>
      <c r="AA256" t="s">
        <v>1872</v>
      </c>
    </row>
    <row r="257" spans="1:27" x14ac:dyDescent="0.25">
      <c r="A257" t="s">
        <v>1873</v>
      </c>
      <c r="B257" t="s">
        <v>1874</v>
      </c>
      <c r="C257" t="s">
        <v>29</v>
      </c>
      <c r="D257" t="s">
        <v>1846</v>
      </c>
      <c r="E257" t="s">
        <v>358</v>
      </c>
      <c r="F257" t="s">
        <v>1487</v>
      </c>
      <c r="G257" t="s">
        <v>1488</v>
      </c>
      <c r="H257" t="str">
        <f>INDEX([1]妻子表!$A:$A,MATCH(F257,[1]妻子表!$B:$B,0))</f>
        <v>M000182W01</v>
      </c>
      <c r="I257" t="str">
        <f>VLOOKUP(H257,[1]妻子表!$A:$D,4,0)</f>
        <v>李氏</v>
      </c>
      <c r="J257" t="s">
        <v>359</v>
      </c>
      <c r="L257" t="s">
        <v>44</v>
      </c>
      <c r="M257" t="s">
        <v>1875</v>
      </c>
      <c r="N257" t="s">
        <v>1518</v>
      </c>
      <c r="O257" t="s">
        <v>1876</v>
      </c>
      <c r="P257" t="s">
        <v>601</v>
      </c>
      <c r="Q257" t="s">
        <v>1877</v>
      </c>
      <c r="R257" t="s">
        <v>1024</v>
      </c>
      <c r="S257" t="s">
        <v>1878</v>
      </c>
      <c r="AA257" t="s">
        <v>1879</v>
      </c>
    </row>
    <row r="258" spans="1:27" x14ac:dyDescent="0.25">
      <c r="A258" t="s">
        <v>1880</v>
      </c>
      <c r="B258" t="s">
        <v>1881</v>
      </c>
      <c r="C258" t="s">
        <v>29</v>
      </c>
      <c r="D258" t="s">
        <v>1846</v>
      </c>
      <c r="E258" t="s">
        <v>358</v>
      </c>
      <c r="F258" t="s">
        <v>1487</v>
      </c>
      <c r="G258" t="s">
        <v>1488</v>
      </c>
      <c r="H258" t="str">
        <f>INDEX([1]妻子表!$A:$A,MATCH(F258,[1]妻子表!$B:$B,0))</f>
        <v>M000182W01</v>
      </c>
      <c r="I258" t="str">
        <f>VLOOKUP(H258,[1]妻子表!$A:$D,4,0)</f>
        <v>李氏</v>
      </c>
      <c r="J258" t="s">
        <v>359</v>
      </c>
      <c r="M258" t="s">
        <v>1882</v>
      </c>
      <c r="N258" t="s">
        <v>1377</v>
      </c>
      <c r="O258" t="s">
        <v>1883</v>
      </c>
      <c r="P258" t="s">
        <v>458</v>
      </c>
      <c r="T258" s="2" t="s">
        <v>1884</v>
      </c>
      <c r="U258" t="s">
        <v>882</v>
      </c>
      <c r="AA258" t="s">
        <v>1885</v>
      </c>
    </row>
    <row r="259" spans="1:27" x14ac:dyDescent="0.25">
      <c r="A259" t="s">
        <v>1886</v>
      </c>
      <c r="B259" t="s">
        <v>1887</v>
      </c>
      <c r="C259" t="s">
        <v>29</v>
      </c>
      <c r="D259" t="s">
        <v>1846</v>
      </c>
      <c r="E259" t="s">
        <v>358</v>
      </c>
      <c r="F259" t="s">
        <v>1487</v>
      </c>
      <c r="G259" t="s">
        <v>1488</v>
      </c>
      <c r="H259" t="str">
        <f>INDEX([1]妻子表!$A:$A,MATCH(F259,[1]妻子表!$B:$B,0))</f>
        <v>M000182W01</v>
      </c>
      <c r="I259" t="str">
        <f>VLOOKUP(H259,[1]妻子表!$A:$D,4,0)</f>
        <v>李氏</v>
      </c>
      <c r="J259" t="s">
        <v>359</v>
      </c>
      <c r="M259" t="s">
        <v>1888</v>
      </c>
      <c r="N259" t="s">
        <v>1047</v>
      </c>
      <c r="O259" t="s">
        <v>1889</v>
      </c>
      <c r="P259" t="s">
        <v>200</v>
      </c>
      <c r="T259" s="2" t="s">
        <v>1890</v>
      </c>
      <c r="U259" t="s">
        <v>38</v>
      </c>
      <c r="AA259" t="s">
        <v>1891</v>
      </c>
    </row>
    <row r="260" spans="1:27" x14ac:dyDescent="0.25">
      <c r="A260" t="s">
        <v>1892</v>
      </c>
      <c r="B260" t="s">
        <v>1893</v>
      </c>
      <c r="C260" t="s">
        <v>29</v>
      </c>
      <c r="D260" t="s">
        <v>1846</v>
      </c>
      <c r="E260" t="s">
        <v>358</v>
      </c>
      <c r="F260" t="s">
        <v>1496</v>
      </c>
      <c r="G260" t="s">
        <v>1497</v>
      </c>
      <c r="H260" t="str">
        <f>INDEX([1]妻子表!$A:$A,MATCH(F260,[1]妻子表!$B:$B,0))</f>
        <v>M000183W01</v>
      </c>
      <c r="I260" t="str">
        <f>VLOOKUP(H260,[1]妻子表!$A:$D,4,0)</f>
        <v>黄氏</v>
      </c>
      <c r="J260" t="s">
        <v>359</v>
      </c>
      <c r="L260" t="s">
        <v>392</v>
      </c>
      <c r="M260" t="s">
        <v>1894</v>
      </c>
      <c r="N260" t="s">
        <v>1518</v>
      </c>
      <c r="O260" t="s">
        <v>1895</v>
      </c>
      <c r="P260" t="s">
        <v>601</v>
      </c>
      <c r="Q260" t="s">
        <v>1896</v>
      </c>
      <c r="R260" t="s">
        <v>1897</v>
      </c>
      <c r="S260" t="s">
        <v>1898</v>
      </c>
      <c r="T260" s="2" t="s">
        <v>1899</v>
      </c>
      <c r="U260" t="s">
        <v>174</v>
      </c>
      <c r="AA260" t="s">
        <v>1900</v>
      </c>
    </row>
    <row r="261" spans="1:27" x14ac:dyDescent="0.25">
      <c r="A261" t="s">
        <v>1901</v>
      </c>
      <c r="B261" t="s">
        <v>1902</v>
      </c>
      <c r="C261" t="s">
        <v>29</v>
      </c>
      <c r="D261" t="s">
        <v>1846</v>
      </c>
      <c r="E261" t="s">
        <v>358</v>
      </c>
      <c r="F261" t="s">
        <v>1506</v>
      </c>
      <c r="G261" t="s">
        <v>1507</v>
      </c>
      <c r="H261" t="str">
        <f>INDEX([1]妻子表!$A:$A,MATCH(F261,[1]妻子表!$B:$B,0))</f>
        <v>M000184W01</v>
      </c>
      <c r="I261" t="str">
        <f>VLOOKUP(H261,[1]妻子表!$A:$D,4,0)</f>
        <v>彭氏</v>
      </c>
      <c r="J261" t="s">
        <v>359</v>
      </c>
      <c r="K261" t="s">
        <v>950</v>
      </c>
      <c r="L261" t="s">
        <v>493</v>
      </c>
      <c r="M261" t="s">
        <v>1903</v>
      </c>
      <c r="N261" t="s">
        <v>1571</v>
      </c>
      <c r="O261" t="s">
        <v>1904</v>
      </c>
      <c r="P261" t="s">
        <v>240</v>
      </c>
      <c r="Q261" t="s">
        <v>1905</v>
      </c>
      <c r="R261" t="s">
        <v>1797</v>
      </c>
      <c r="S261" t="s">
        <v>1906</v>
      </c>
      <c r="T261" s="2" t="s">
        <v>1907</v>
      </c>
      <c r="U261" t="s">
        <v>174</v>
      </c>
      <c r="AA261" t="s">
        <v>1908</v>
      </c>
    </row>
    <row r="262" spans="1:27" x14ac:dyDescent="0.25">
      <c r="A262" t="s">
        <v>1909</v>
      </c>
      <c r="B262" t="s">
        <v>1910</v>
      </c>
      <c r="C262" t="s">
        <v>29</v>
      </c>
      <c r="D262" t="s">
        <v>1846</v>
      </c>
      <c r="E262" t="s">
        <v>358</v>
      </c>
      <c r="F262" t="s">
        <v>1506</v>
      </c>
      <c r="G262" t="s">
        <v>1507</v>
      </c>
      <c r="H262" t="str">
        <f>INDEX([1]妻子表!$A:$A,MATCH(F262,[1]妻子表!$B:$B,0))</f>
        <v>M000184W01</v>
      </c>
      <c r="I262" t="str">
        <f>VLOOKUP(H262,[1]妻子表!$A:$D,4,0)</f>
        <v>彭氏</v>
      </c>
      <c r="J262" t="s">
        <v>359</v>
      </c>
      <c r="L262" t="s">
        <v>1911</v>
      </c>
      <c r="M262" t="s">
        <v>1912</v>
      </c>
      <c r="N262" t="s">
        <v>1502</v>
      </c>
      <c r="O262" t="s">
        <v>1913</v>
      </c>
      <c r="P262" t="s">
        <v>497</v>
      </c>
      <c r="Q262" t="s">
        <v>1914</v>
      </c>
      <c r="R262" t="s">
        <v>1915</v>
      </c>
      <c r="S262" t="s">
        <v>1916</v>
      </c>
      <c r="T262" s="2" t="s">
        <v>1917</v>
      </c>
      <c r="U262" t="s">
        <v>174</v>
      </c>
      <c r="AA262" t="s">
        <v>1918</v>
      </c>
    </row>
    <row r="263" spans="1:27" x14ac:dyDescent="0.25">
      <c r="A263" t="s">
        <v>1919</v>
      </c>
      <c r="B263" t="s">
        <v>1920</v>
      </c>
      <c r="C263" t="s">
        <v>29</v>
      </c>
      <c r="D263" t="s">
        <v>1846</v>
      </c>
      <c r="E263" t="s">
        <v>358</v>
      </c>
      <c r="F263" t="s">
        <v>1506</v>
      </c>
      <c r="G263" t="s">
        <v>1507</v>
      </c>
      <c r="H263" t="str">
        <f>INDEX([1]妻子表!$A:$A,MATCH(F263,[1]妻子表!$B:$B,0))</f>
        <v>M000184W01</v>
      </c>
      <c r="I263" t="str">
        <f>VLOOKUP(H263,[1]妻子表!$A:$D,4,0)</f>
        <v>彭氏</v>
      </c>
      <c r="J263" t="s">
        <v>359</v>
      </c>
      <c r="M263" t="s">
        <v>1921</v>
      </c>
      <c r="N263" t="s">
        <v>1047</v>
      </c>
      <c r="O263" t="s">
        <v>1922</v>
      </c>
      <c r="P263" t="s">
        <v>200</v>
      </c>
      <c r="T263" s="2" t="s">
        <v>1923</v>
      </c>
      <c r="U263" t="s">
        <v>744</v>
      </c>
      <c r="AA263" t="s">
        <v>1924</v>
      </c>
    </row>
    <row r="264" spans="1:27" x14ac:dyDescent="0.25">
      <c r="A264" t="s">
        <v>1925</v>
      </c>
      <c r="B264" t="s">
        <v>1926</v>
      </c>
      <c r="C264" t="s">
        <v>29</v>
      </c>
      <c r="D264" t="s">
        <v>1846</v>
      </c>
      <c r="E264" t="s">
        <v>358</v>
      </c>
      <c r="F264" t="s">
        <v>1529</v>
      </c>
      <c r="G264" t="s">
        <v>1530</v>
      </c>
      <c r="H264" t="str">
        <f>INDEX([1]妻子表!$A:$A,MATCH(F264,[1]妻子表!$B:$B,0))</f>
        <v>M000187W01</v>
      </c>
      <c r="I264" t="str">
        <f>VLOOKUP(H264,[1]妻子表!$A:$D,4,0)</f>
        <v>肖氏</v>
      </c>
      <c r="J264" t="s">
        <v>359</v>
      </c>
      <c r="M264" t="s">
        <v>1927</v>
      </c>
      <c r="N264" t="s">
        <v>1168</v>
      </c>
      <c r="O264" t="s">
        <v>1928</v>
      </c>
      <c r="P264" t="s">
        <v>497</v>
      </c>
      <c r="AA264" t="s">
        <v>1929</v>
      </c>
    </row>
    <row r="265" spans="1:27" x14ac:dyDescent="0.25">
      <c r="A265" t="s">
        <v>1930</v>
      </c>
      <c r="B265" t="s">
        <v>1931</v>
      </c>
      <c r="C265" t="s">
        <v>29</v>
      </c>
      <c r="D265" t="s">
        <v>1846</v>
      </c>
      <c r="E265" t="s">
        <v>358</v>
      </c>
      <c r="F265" t="s">
        <v>1529</v>
      </c>
      <c r="G265" t="s">
        <v>1530</v>
      </c>
      <c r="H265" t="str">
        <f>INDEX([1]妻子表!$A:$A,MATCH(F265,[1]妻子表!$B:$B,0))</f>
        <v>M000187W01</v>
      </c>
      <c r="I265" t="str">
        <f>VLOOKUP(H265,[1]妻子表!$A:$D,4,0)</f>
        <v>肖氏</v>
      </c>
      <c r="J265" t="s">
        <v>359</v>
      </c>
      <c r="M265" t="s">
        <v>1932</v>
      </c>
      <c r="N265" t="s">
        <v>1868</v>
      </c>
      <c r="O265" t="s">
        <v>1933</v>
      </c>
      <c r="P265" t="s">
        <v>458</v>
      </c>
      <c r="T265" s="2" t="s">
        <v>1934</v>
      </c>
      <c r="U265" t="s">
        <v>174</v>
      </c>
      <c r="AA265" t="s">
        <v>1935</v>
      </c>
    </row>
    <row r="266" spans="1:27" x14ac:dyDescent="0.25">
      <c r="A266" t="s">
        <v>1936</v>
      </c>
      <c r="B266" t="s">
        <v>1937</v>
      </c>
      <c r="C266" t="s">
        <v>29</v>
      </c>
      <c r="D266" t="s">
        <v>1846</v>
      </c>
      <c r="E266" t="s">
        <v>358</v>
      </c>
      <c r="F266" t="s">
        <v>1529</v>
      </c>
      <c r="G266" t="s">
        <v>1530</v>
      </c>
      <c r="H266" t="str">
        <f>INDEX([1]妻子表!$A:$A,MATCH(F266,[1]妻子表!$B:$B,0))</f>
        <v>M000187W01</v>
      </c>
      <c r="I266" t="str">
        <f>VLOOKUP(H266,[1]妻子表!$A:$D,4,0)</f>
        <v>肖氏</v>
      </c>
      <c r="J266" t="s">
        <v>359</v>
      </c>
      <c r="M266" t="s">
        <v>1938</v>
      </c>
      <c r="N266" t="s">
        <v>1939</v>
      </c>
      <c r="O266" t="s">
        <v>1940</v>
      </c>
      <c r="P266" t="s">
        <v>169</v>
      </c>
      <c r="AA266" t="s">
        <v>1941</v>
      </c>
    </row>
    <row r="267" spans="1:27" ht="31.5" customHeight="1" x14ac:dyDescent="0.25">
      <c r="A267" t="s">
        <v>1942</v>
      </c>
      <c r="B267" t="s">
        <v>1943</v>
      </c>
      <c r="C267" t="s">
        <v>29</v>
      </c>
      <c r="D267" t="s">
        <v>1846</v>
      </c>
      <c r="E267" t="s">
        <v>358</v>
      </c>
      <c r="F267" t="s">
        <v>1536</v>
      </c>
      <c r="G267" t="s">
        <v>1537</v>
      </c>
      <c r="H267" t="str">
        <f>INDEX([1]妻子表!$A:$A,MATCH(F267,[1]妻子表!$B:$B,0))</f>
        <v>M000188W01</v>
      </c>
      <c r="I267" t="str">
        <f>VLOOKUP(H267,[1]妻子表!$A:$D,4,0)</f>
        <v>彭氏</v>
      </c>
      <c r="J267" t="s">
        <v>359</v>
      </c>
      <c r="K267" t="s">
        <v>1944</v>
      </c>
      <c r="L267" t="s">
        <v>725</v>
      </c>
      <c r="M267" t="s">
        <v>1945</v>
      </c>
      <c r="N267" t="s">
        <v>1252</v>
      </c>
      <c r="O267" t="s">
        <v>1946</v>
      </c>
      <c r="P267" t="s">
        <v>184</v>
      </c>
      <c r="Q267" t="s">
        <v>1947</v>
      </c>
      <c r="R267" t="s">
        <v>1948</v>
      </c>
      <c r="S267" t="s">
        <v>1949</v>
      </c>
      <c r="T267" s="2" t="s">
        <v>1950</v>
      </c>
      <c r="U267" t="s">
        <v>1951</v>
      </c>
      <c r="AA267" t="s">
        <v>1952</v>
      </c>
    </row>
    <row r="268" spans="1:27" x14ac:dyDescent="0.25">
      <c r="A268" t="s">
        <v>1953</v>
      </c>
      <c r="B268" t="s">
        <v>1954</v>
      </c>
      <c r="C268" t="s">
        <v>29</v>
      </c>
      <c r="D268" t="s">
        <v>1846</v>
      </c>
      <c r="E268" t="s">
        <v>358</v>
      </c>
      <c r="F268" t="s">
        <v>1536</v>
      </c>
      <c r="G268" t="s">
        <v>1537</v>
      </c>
      <c r="H268" t="str">
        <f>INDEX([1]妻子表!$A:$A,MATCH(F268,[1]妻子表!$B:$B,0))</f>
        <v>M000188W01</v>
      </c>
      <c r="I268" t="str">
        <f>VLOOKUP(H268,[1]妻子表!$A:$D,4,0)</f>
        <v>彭氏</v>
      </c>
      <c r="J268" t="s">
        <v>359</v>
      </c>
      <c r="AA268" t="s">
        <v>489</v>
      </c>
    </row>
    <row r="269" spans="1:27" x14ac:dyDescent="0.25">
      <c r="A269" t="s">
        <v>1955</v>
      </c>
      <c r="B269" t="s">
        <v>1956</v>
      </c>
      <c r="C269" t="s">
        <v>29</v>
      </c>
      <c r="D269" t="s">
        <v>1846</v>
      </c>
      <c r="E269" t="s">
        <v>358</v>
      </c>
      <c r="F269" t="s">
        <v>1543</v>
      </c>
      <c r="G269" t="s">
        <v>1544</v>
      </c>
      <c r="H269" t="str">
        <f>INDEX([1]妻子表!$A:$A,MATCH(F269,[1]妻子表!$B:$B,0))</f>
        <v>M000190W01</v>
      </c>
      <c r="I269" t="str">
        <f>VLOOKUP(H269,[1]妻子表!$A:$D,4,0)</f>
        <v>刘氏</v>
      </c>
      <c r="J269" t="s">
        <v>359</v>
      </c>
      <c r="AA269" t="s">
        <v>1957</v>
      </c>
    </row>
    <row r="270" spans="1:27" x14ac:dyDescent="0.25">
      <c r="A270" t="s">
        <v>1958</v>
      </c>
      <c r="B270" t="s">
        <v>1959</v>
      </c>
      <c r="C270" t="s">
        <v>29</v>
      </c>
      <c r="D270" t="s">
        <v>1846</v>
      </c>
      <c r="E270" t="s">
        <v>358</v>
      </c>
      <c r="F270" t="s">
        <v>1543</v>
      </c>
      <c r="G270" t="s">
        <v>1544</v>
      </c>
      <c r="H270" t="str">
        <f>INDEX([1]妻子表!$A:$A,MATCH(F270,[1]妻子表!$B:$B,0))</f>
        <v>M000190W01</v>
      </c>
      <c r="I270" t="str">
        <f>VLOOKUP(H270,[1]妻子表!$A:$D,4,0)</f>
        <v>刘氏</v>
      </c>
      <c r="J270" t="s">
        <v>359</v>
      </c>
      <c r="AA270" t="s">
        <v>1960</v>
      </c>
    </row>
    <row r="271" spans="1:27" x14ac:dyDescent="0.25">
      <c r="A271" t="s">
        <v>1961</v>
      </c>
      <c r="B271" t="s">
        <v>1962</v>
      </c>
      <c r="C271" t="s">
        <v>29</v>
      </c>
      <c r="D271" t="s">
        <v>1846</v>
      </c>
      <c r="E271" t="s">
        <v>358</v>
      </c>
      <c r="F271" t="s">
        <v>1543</v>
      </c>
      <c r="G271" t="s">
        <v>1544</v>
      </c>
      <c r="H271" t="str">
        <f>INDEX([1]妻子表!$A:$A,MATCH(F271,[1]妻子表!$B:$B,0))</f>
        <v>M000190W01</v>
      </c>
      <c r="I271" t="str">
        <f>VLOOKUP(H271,[1]妻子表!$A:$D,4,0)</f>
        <v>刘氏</v>
      </c>
      <c r="J271" t="s">
        <v>359</v>
      </c>
      <c r="M271" t="s">
        <v>1963</v>
      </c>
      <c r="N271" t="s">
        <v>912</v>
      </c>
      <c r="O271" t="s">
        <v>1964</v>
      </c>
      <c r="P271" t="s">
        <v>407</v>
      </c>
      <c r="R271" t="s">
        <v>1965</v>
      </c>
      <c r="T271" s="2" t="s">
        <v>1966</v>
      </c>
      <c r="U271" t="s">
        <v>1967</v>
      </c>
      <c r="AA271" t="s">
        <v>1968</v>
      </c>
    </row>
    <row r="272" spans="1:27" x14ac:dyDescent="0.25">
      <c r="A272" t="s">
        <v>1969</v>
      </c>
      <c r="B272" t="s">
        <v>1970</v>
      </c>
      <c r="C272" t="s">
        <v>29</v>
      </c>
      <c r="D272" t="s">
        <v>1846</v>
      </c>
      <c r="E272" t="s">
        <v>358</v>
      </c>
      <c r="F272" t="s">
        <v>1552</v>
      </c>
      <c r="G272" t="s">
        <v>1553</v>
      </c>
      <c r="H272" t="str">
        <f>INDEX([1]妻子表!$A:$A,MATCH(F272,[1]妻子表!$B:$B,0))</f>
        <v>M000191W01</v>
      </c>
      <c r="I272" t="str">
        <f>VLOOKUP(H272,[1]妻子表!$A:$D,4,0)</f>
        <v>某氏</v>
      </c>
      <c r="J272" t="s">
        <v>359</v>
      </c>
      <c r="AA272" t="s">
        <v>1971</v>
      </c>
    </row>
    <row r="273" spans="1:27" x14ac:dyDescent="0.25">
      <c r="A273" t="s">
        <v>1972</v>
      </c>
      <c r="B273" t="s">
        <v>1973</v>
      </c>
      <c r="C273" t="s">
        <v>29</v>
      </c>
      <c r="D273" t="s">
        <v>1846</v>
      </c>
      <c r="E273" t="s">
        <v>358</v>
      </c>
      <c r="F273" t="s">
        <v>1556</v>
      </c>
      <c r="G273" t="s">
        <v>1557</v>
      </c>
      <c r="H273" t="str">
        <f>INDEX([1]妻子表!$A:$A,MATCH(F273,[1]妻子表!$B:$B,0))</f>
        <v>M000192W01</v>
      </c>
      <c r="I273" t="str">
        <f>VLOOKUP(H273,[1]妻子表!$A:$D,4,0)</f>
        <v>朱氏</v>
      </c>
      <c r="J273" t="s">
        <v>359</v>
      </c>
      <c r="K273" t="s">
        <v>1138</v>
      </c>
      <c r="AA273" t="s">
        <v>1974</v>
      </c>
    </row>
    <row r="274" spans="1:27" x14ac:dyDescent="0.25">
      <c r="A274" t="s">
        <v>1975</v>
      </c>
      <c r="B274" t="s">
        <v>1976</v>
      </c>
      <c r="C274" t="s">
        <v>29</v>
      </c>
      <c r="D274" t="s">
        <v>1846</v>
      </c>
      <c r="E274" t="s">
        <v>358</v>
      </c>
      <c r="F274" t="s">
        <v>1556</v>
      </c>
      <c r="G274" t="s">
        <v>1557</v>
      </c>
      <c r="H274" t="str">
        <f>INDEX([1]妻子表!$A:$A,MATCH(F274,[1]妻子表!$B:$B,0))</f>
        <v>M000192W01</v>
      </c>
      <c r="I274" t="str">
        <f>VLOOKUP(H274,[1]妻子表!$A:$D,4,0)</f>
        <v>朱氏</v>
      </c>
      <c r="J274" t="s">
        <v>359</v>
      </c>
      <c r="AA274" t="s">
        <v>489</v>
      </c>
    </row>
    <row r="275" spans="1:27" x14ac:dyDescent="0.25">
      <c r="A275" t="s">
        <v>1977</v>
      </c>
      <c r="B275" t="s">
        <v>1978</v>
      </c>
      <c r="C275" t="s">
        <v>29</v>
      </c>
      <c r="D275" t="s">
        <v>1846</v>
      </c>
      <c r="E275" t="s">
        <v>358</v>
      </c>
      <c r="F275" t="s">
        <v>1568</v>
      </c>
      <c r="G275" t="s">
        <v>1569</v>
      </c>
      <c r="H275" t="str">
        <f>INDEX([1]妻子表!$A:$A,MATCH(F275,[1]妻子表!$B:$B,0))</f>
        <v>M000195W01</v>
      </c>
      <c r="I275" t="str">
        <f>VLOOKUP(H275,[1]妻子表!$A:$D,4,0)</f>
        <v>刘氏</v>
      </c>
      <c r="J275" t="s">
        <v>359</v>
      </c>
      <c r="M275" t="s">
        <v>1979</v>
      </c>
      <c r="N275" t="s">
        <v>1980</v>
      </c>
      <c r="O275" t="s">
        <v>1981</v>
      </c>
      <c r="P275" t="s">
        <v>407</v>
      </c>
      <c r="T275" s="2" t="s">
        <v>1982</v>
      </c>
      <c r="U275" t="s">
        <v>38</v>
      </c>
      <c r="AA275" t="s">
        <v>1983</v>
      </c>
    </row>
    <row r="276" spans="1:27" x14ac:dyDescent="0.25">
      <c r="A276" t="s">
        <v>1984</v>
      </c>
      <c r="B276" t="s">
        <v>1985</v>
      </c>
      <c r="C276" t="s">
        <v>29</v>
      </c>
      <c r="D276" t="s">
        <v>1846</v>
      </c>
      <c r="E276" t="s">
        <v>358</v>
      </c>
      <c r="F276" t="s">
        <v>1568</v>
      </c>
      <c r="G276" t="s">
        <v>1569</v>
      </c>
      <c r="H276" t="str">
        <f>INDEX([1]妻子表!$A:$A,MATCH(F276,[1]妻子表!$B:$B,0))</f>
        <v>M000195W01</v>
      </c>
      <c r="I276" t="str">
        <f>VLOOKUP(H276,[1]妻子表!$A:$D,4,0)</f>
        <v>刘氏</v>
      </c>
      <c r="J276" t="s">
        <v>359</v>
      </c>
      <c r="M276" t="s">
        <v>1986</v>
      </c>
      <c r="N276" t="s">
        <v>1987</v>
      </c>
      <c r="O276" t="s">
        <v>1988</v>
      </c>
      <c r="P276" t="s">
        <v>184</v>
      </c>
      <c r="T276" s="2" t="s">
        <v>1989</v>
      </c>
      <c r="U276" t="s">
        <v>38</v>
      </c>
      <c r="AA276" t="s">
        <v>1990</v>
      </c>
    </row>
    <row r="277" spans="1:27" x14ac:dyDescent="0.25">
      <c r="A277" t="s">
        <v>1991</v>
      </c>
      <c r="B277" t="s">
        <v>1992</v>
      </c>
      <c r="C277" t="s">
        <v>29</v>
      </c>
      <c r="D277" t="s">
        <v>1846</v>
      </c>
      <c r="E277" t="s">
        <v>358</v>
      </c>
      <c r="F277" t="s">
        <v>1568</v>
      </c>
      <c r="G277" t="s">
        <v>1569</v>
      </c>
      <c r="H277" t="str">
        <f>INDEX([1]妻子表!$A:$A,MATCH(F277,[1]妻子表!$B:$B,0))</f>
        <v>M000195W01</v>
      </c>
      <c r="I277" t="str">
        <f>VLOOKUP(H277,[1]妻子表!$A:$D,4,0)</f>
        <v>刘氏</v>
      </c>
      <c r="J277" t="s">
        <v>359</v>
      </c>
      <c r="M277" t="s">
        <v>1993</v>
      </c>
      <c r="N277" t="s">
        <v>1994</v>
      </c>
      <c r="O277" t="s">
        <v>1995</v>
      </c>
      <c r="P277" t="s">
        <v>200</v>
      </c>
      <c r="T277" s="2" t="s">
        <v>1996</v>
      </c>
      <c r="U277" t="s">
        <v>1997</v>
      </c>
      <c r="AA277" t="s">
        <v>1998</v>
      </c>
    </row>
    <row r="278" spans="1:27" x14ac:dyDescent="0.25">
      <c r="A278" t="s">
        <v>1999</v>
      </c>
      <c r="B278" t="s">
        <v>2000</v>
      </c>
      <c r="C278" t="s">
        <v>29</v>
      </c>
      <c r="D278" t="s">
        <v>1846</v>
      </c>
      <c r="E278" t="s">
        <v>358</v>
      </c>
      <c r="F278" t="s">
        <v>1584</v>
      </c>
      <c r="G278" t="s">
        <v>1585</v>
      </c>
      <c r="H278" t="str">
        <f>INDEX([1]妻子表!$A:$A,MATCH(F278,[1]妻子表!$B:$B,0))</f>
        <v>M000198W01</v>
      </c>
      <c r="I278" t="str">
        <f>VLOOKUP(H278,[1]妻子表!$A:$D,4,0)</f>
        <v>刘氏</v>
      </c>
      <c r="J278" t="s">
        <v>359</v>
      </c>
      <c r="M278" t="s">
        <v>2001</v>
      </c>
      <c r="N278" t="s">
        <v>1774</v>
      </c>
      <c r="O278" t="s">
        <v>2002</v>
      </c>
      <c r="P278" t="s">
        <v>458</v>
      </c>
      <c r="T278" s="2" t="s">
        <v>2003</v>
      </c>
      <c r="U278" t="s">
        <v>174</v>
      </c>
      <c r="AA278" t="s">
        <v>2004</v>
      </c>
    </row>
    <row r="279" spans="1:27" x14ac:dyDescent="0.25">
      <c r="A279" t="s">
        <v>2005</v>
      </c>
      <c r="B279" t="s">
        <v>2006</v>
      </c>
      <c r="C279" t="s">
        <v>29</v>
      </c>
      <c r="D279" t="s">
        <v>1846</v>
      </c>
      <c r="E279" t="s">
        <v>358</v>
      </c>
      <c r="F279" t="s">
        <v>1593</v>
      </c>
      <c r="G279" t="s">
        <v>1594</v>
      </c>
      <c r="H279" t="str">
        <f>INDEX([1]妻子表!$A:$A,MATCH(F279,[1]妻子表!$B:$B,0))</f>
        <v>M000199W01</v>
      </c>
      <c r="I279" t="str">
        <f>VLOOKUP(H279,[1]妻子表!$A:$D,4,0)</f>
        <v>彭氏</v>
      </c>
      <c r="J279" t="s">
        <v>359</v>
      </c>
      <c r="AA279" t="s">
        <v>2007</v>
      </c>
    </row>
    <row r="280" spans="1:27" x14ac:dyDescent="0.25">
      <c r="A280" t="s">
        <v>2008</v>
      </c>
      <c r="B280" t="s">
        <v>2009</v>
      </c>
      <c r="C280" t="s">
        <v>29</v>
      </c>
      <c r="D280" t="s">
        <v>1846</v>
      </c>
      <c r="E280" t="s">
        <v>358</v>
      </c>
      <c r="F280" t="s">
        <v>1593</v>
      </c>
      <c r="G280" t="s">
        <v>1594</v>
      </c>
      <c r="H280" t="str">
        <f>INDEX([1]妻子表!$A:$A,MATCH(F280,[1]妻子表!$B:$B,0))</f>
        <v>M000199W01</v>
      </c>
      <c r="I280" t="str">
        <f>VLOOKUP(H280,[1]妻子表!$A:$D,4,0)</f>
        <v>彭氏</v>
      </c>
      <c r="J280" t="s">
        <v>359</v>
      </c>
      <c r="AA280" t="s">
        <v>2010</v>
      </c>
    </row>
    <row r="281" spans="1:27" x14ac:dyDescent="0.25">
      <c r="A281" t="s">
        <v>2011</v>
      </c>
      <c r="B281" t="s">
        <v>2012</v>
      </c>
      <c r="C281" t="s">
        <v>29</v>
      </c>
      <c r="D281" t="s">
        <v>1846</v>
      </c>
      <c r="E281" t="s">
        <v>358</v>
      </c>
      <c r="F281" t="s">
        <v>1622</v>
      </c>
      <c r="G281" t="s">
        <v>1623</v>
      </c>
      <c r="H281" t="str">
        <f>INDEX([1]妻子表!$A:$A,MATCH(F281,[1]妻子表!$B:$B,0))</f>
        <v>M000206W01</v>
      </c>
      <c r="I281" t="str">
        <f>VLOOKUP(H281,[1]妻子表!$A:$D,4,0)</f>
        <v>谭氏</v>
      </c>
      <c r="J281" t="s">
        <v>359</v>
      </c>
      <c r="K281" t="s">
        <v>2013</v>
      </c>
      <c r="L281" t="s">
        <v>1085</v>
      </c>
      <c r="M281" t="s">
        <v>2014</v>
      </c>
      <c r="N281" t="s">
        <v>2015</v>
      </c>
      <c r="O281" t="s">
        <v>2016</v>
      </c>
      <c r="P281" t="s">
        <v>497</v>
      </c>
      <c r="Q281" t="s">
        <v>2017</v>
      </c>
      <c r="R281" t="s">
        <v>2018</v>
      </c>
      <c r="S281" t="s">
        <v>2019</v>
      </c>
      <c r="T281" s="2" t="s">
        <v>2020</v>
      </c>
      <c r="U281" t="s">
        <v>95</v>
      </c>
      <c r="AA281" t="s">
        <v>2021</v>
      </c>
    </row>
    <row r="282" spans="1:27" x14ac:dyDescent="0.25">
      <c r="A282" t="s">
        <v>2022</v>
      </c>
      <c r="B282" t="s">
        <v>2023</v>
      </c>
      <c r="C282" t="s">
        <v>29</v>
      </c>
      <c r="D282" t="s">
        <v>1846</v>
      </c>
      <c r="E282" t="s">
        <v>358</v>
      </c>
      <c r="F282" t="s">
        <v>1622</v>
      </c>
      <c r="G282" t="s">
        <v>1623</v>
      </c>
      <c r="H282" t="str">
        <f>INDEX([1]妻子表!$A:$A,MATCH(F282,[1]妻子表!$B:$B,0))</f>
        <v>M000206W01</v>
      </c>
      <c r="I282" t="str">
        <f>VLOOKUP(H282,[1]妻子表!$A:$D,4,0)</f>
        <v>谭氏</v>
      </c>
      <c r="J282" t="s">
        <v>359</v>
      </c>
      <c r="AA282" t="s">
        <v>489</v>
      </c>
    </row>
    <row r="283" spans="1:27" x14ac:dyDescent="0.25">
      <c r="A283" t="s">
        <v>2024</v>
      </c>
      <c r="B283" t="s">
        <v>2025</v>
      </c>
      <c r="C283" t="s">
        <v>29</v>
      </c>
      <c r="D283" t="s">
        <v>1846</v>
      </c>
      <c r="E283" t="s">
        <v>358</v>
      </c>
      <c r="F283" t="s">
        <v>1622</v>
      </c>
      <c r="G283" t="s">
        <v>1623</v>
      </c>
      <c r="H283" t="str">
        <f>INDEX([1]妻子表!$A:$A,MATCH(F283,[1]妻子表!$B:$B,0))</f>
        <v>M000206W01</v>
      </c>
      <c r="I283" t="str">
        <f>VLOOKUP(H283,[1]妻子表!$A:$D,4,0)</f>
        <v>谭氏</v>
      </c>
      <c r="J283" t="s">
        <v>359</v>
      </c>
      <c r="M283" t="s">
        <v>2026</v>
      </c>
      <c r="N283" t="s">
        <v>1492</v>
      </c>
      <c r="O283" t="s">
        <v>2027</v>
      </c>
      <c r="P283" t="s">
        <v>240</v>
      </c>
      <c r="AA283" t="s">
        <v>2028</v>
      </c>
    </row>
    <row r="284" spans="1:27" x14ac:dyDescent="0.25">
      <c r="A284" t="s">
        <v>2029</v>
      </c>
      <c r="B284" t="s">
        <v>2030</v>
      </c>
      <c r="C284" t="s">
        <v>29</v>
      </c>
      <c r="D284" t="s">
        <v>1846</v>
      </c>
      <c r="E284" t="s">
        <v>358</v>
      </c>
      <c r="F284" t="s">
        <v>1634</v>
      </c>
      <c r="G284" t="s">
        <v>1635</v>
      </c>
      <c r="H284" t="str">
        <f>INDEX([1]妻子表!$A:$A,MATCH(F284,[1]妻子表!$B:$B,0))</f>
        <v>M000208W01</v>
      </c>
      <c r="I284" t="str">
        <f>VLOOKUP(H284,[1]妻子表!$A:$D,4,0)</f>
        <v>王氏</v>
      </c>
      <c r="J284" t="s">
        <v>359</v>
      </c>
      <c r="M284" t="s">
        <v>2031</v>
      </c>
      <c r="N284" t="s">
        <v>1492</v>
      </c>
      <c r="O284" t="s">
        <v>2032</v>
      </c>
      <c r="P284" t="s">
        <v>240</v>
      </c>
      <c r="T284" s="2" t="s">
        <v>2033</v>
      </c>
      <c r="U284" t="s">
        <v>2034</v>
      </c>
      <c r="AA284" t="s">
        <v>2035</v>
      </c>
    </row>
    <row r="285" spans="1:27" x14ac:dyDescent="0.25">
      <c r="A285" t="s">
        <v>2036</v>
      </c>
      <c r="B285" t="s">
        <v>2037</v>
      </c>
      <c r="C285" t="s">
        <v>29</v>
      </c>
      <c r="D285" t="s">
        <v>1846</v>
      </c>
      <c r="E285" t="s">
        <v>358</v>
      </c>
      <c r="F285" t="s">
        <v>1654</v>
      </c>
      <c r="G285" t="s">
        <v>1655</v>
      </c>
      <c r="H285" t="str">
        <f>INDEX([1]妻子表!$A:$A,MATCH(F285,[1]妻子表!$B:$B,0))</f>
        <v>M000211W01</v>
      </c>
      <c r="I285" t="str">
        <f>VLOOKUP(H285,[1]妻子表!$A:$D,4,0)</f>
        <v>聂氏</v>
      </c>
      <c r="J285" t="s">
        <v>359</v>
      </c>
      <c r="M285" t="s">
        <v>2038</v>
      </c>
      <c r="N285" t="s">
        <v>1790</v>
      </c>
      <c r="O285" t="s">
        <v>2039</v>
      </c>
      <c r="P285" t="s">
        <v>257</v>
      </c>
      <c r="AA285" t="s">
        <v>2040</v>
      </c>
    </row>
    <row r="286" spans="1:27" x14ac:dyDescent="0.25">
      <c r="A286" t="s">
        <v>2041</v>
      </c>
      <c r="B286" t="s">
        <v>2042</v>
      </c>
      <c r="C286" t="s">
        <v>29</v>
      </c>
      <c r="D286" t="s">
        <v>1846</v>
      </c>
      <c r="E286" t="s">
        <v>358</v>
      </c>
      <c r="F286" t="s">
        <v>1675</v>
      </c>
      <c r="G286" t="s">
        <v>1676</v>
      </c>
      <c r="H286" t="str">
        <f>INDEX([1]妻子表!$A:$A,MATCH(F286,[1]妻子表!$B:$B,0))</f>
        <v>M000215W01</v>
      </c>
      <c r="I286" t="str">
        <f>VLOOKUP(H286,[1]妻子表!$A:$D,4,0)</f>
        <v>杨氏</v>
      </c>
      <c r="J286" t="s">
        <v>359</v>
      </c>
      <c r="M286" t="s">
        <v>2043</v>
      </c>
      <c r="N286" t="s">
        <v>2044</v>
      </c>
      <c r="O286" t="s">
        <v>2045</v>
      </c>
      <c r="P286" t="s">
        <v>108</v>
      </c>
      <c r="AA286" t="s">
        <v>2046</v>
      </c>
    </row>
    <row r="287" spans="1:27" x14ac:dyDescent="0.25">
      <c r="A287" t="s">
        <v>2047</v>
      </c>
      <c r="B287" t="s">
        <v>2048</v>
      </c>
      <c r="C287" t="s">
        <v>29</v>
      </c>
      <c r="D287" t="s">
        <v>1846</v>
      </c>
      <c r="E287" t="s">
        <v>358</v>
      </c>
      <c r="F287" t="s">
        <v>1691</v>
      </c>
      <c r="G287" t="s">
        <v>1692</v>
      </c>
      <c r="H287" t="str">
        <f>INDEX([1]妻子表!$A:$A,MATCH(F287,[1]妻子表!$B:$B,0))</f>
        <v>M000217W01</v>
      </c>
      <c r="I287" t="str">
        <f>VLOOKUP(H287,[1]妻子表!$A:$D,4,0)</f>
        <v>杨氏</v>
      </c>
      <c r="J287" t="s">
        <v>359</v>
      </c>
      <c r="M287" t="s">
        <v>2049</v>
      </c>
      <c r="N287" t="s">
        <v>2050</v>
      </c>
      <c r="O287" t="s">
        <v>2051</v>
      </c>
      <c r="P287" t="s">
        <v>169</v>
      </c>
      <c r="T287" s="2" t="s">
        <v>2052</v>
      </c>
      <c r="U287" t="s">
        <v>744</v>
      </c>
      <c r="AA287" t="s">
        <v>2053</v>
      </c>
    </row>
    <row r="288" spans="1:27" x14ac:dyDescent="0.25">
      <c r="A288" t="s">
        <v>2054</v>
      </c>
      <c r="B288" t="s">
        <v>2055</v>
      </c>
      <c r="C288" t="s">
        <v>29</v>
      </c>
      <c r="D288" t="s">
        <v>1846</v>
      </c>
      <c r="E288" t="s">
        <v>358</v>
      </c>
      <c r="F288" t="s">
        <v>1697</v>
      </c>
      <c r="G288" t="s">
        <v>1698</v>
      </c>
      <c r="H288" t="str">
        <f>INDEX([1]妻子表!$A:$A,MATCH(F288,[1]妻子表!$B:$B,0))</f>
        <v>M000218W01</v>
      </c>
      <c r="I288" t="str">
        <f>VLOOKUP(H288,[1]妻子表!$A:$D,4,0)</f>
        <v>刘氏</v>
      </c>
      <c r="J288" t="s">
        <v>359</v>
      </c>
      <c r="M288" t="s">
        <v>2056</v>
      </c>
      <c r="N288" t="s">
        <v>2057</v>
      </c>
      <c r="O288" t="s">
        <v>2058</v>
      </c>
      <c r="P288" t="s">
        <v>407</v>
      </c>
      <c r="T288" s="2" t="s">
        <v>2059</v>
      </c>
      <c r="U288" t="s">
        <v>2060</v>
      </c>
      <c r="AA288" t="s">
        <v>2061</v>
      </c>
    </row>
    <row r="289" spans="1:27" x14ac:dyDescent="0.25">
      <c r="A289" t="s">
        <v>2062</v>
      </c>
      <c r="B289" t="s">
        <v>2063</v>
      </c>
      <c r="C289" t="s">
        <v>29</v>
      </c>
      <c r="D289" t="s">
        <v>1846</v>
      </c>
      <c r="E289" t="s">
        <v>358</v>
      </c>
      <c r="F289" t="s">
        <v>1697</v>
      </c>
      <c r="G289" t="s">
        <v>1698</v>
      </c>
      <c r="H289" t="str">
        <f>INDEX([1]妻子表!$A:$A,MATCH(F289,[1]妻子表!$B:$B,0))</f>
        <v>M000218W01</v>
      </c>
      <c r="I289" t="str">
        <f>VLOOKUP(H289,[1]妻子表!$A:$D,4,0)</f>
        <v>刘氏</v>
      </c>
      <c r="J289" t="s">
        <v>359</v>
      </c>
      <c r="M289" t="s">
        <v>2064</v>
      </c>
      <c r="N289" t="s">
        <v>1252</v>
      </c>
      <c r="O289" t="s">
        <v>2065</v>
      </c>
      <c r="P289" t="s">
        <v>184</v>
      </c>
      <c r="AA289" t="s">
        <v>2066</v>
      </c>
    </row>
    <row r="290" spans="1:27" x14ac:dyDescent="0.25">
      <c r="A290" t="s">
        <v>2067</v>
      </c>
      <c r="B290" t="s">
        <v>2068</v>
      </c>
      <c r="C290" t="s">
        <v>29</v>
      </c>
      <c r="D290" t="s">
        <v>1846</v>
      </c>
      <c r="E290" t="s">
        <v>358</v>
      </c>
      <c r="F290" t="s">
        <v>1697</v>
      </c>
      <c r="G290" t="s">
        <v>1698</v>
      </c>
      <c r="H290" t="str">
        <f>INDEX([1]妻子表!$A:$A,MATCH(F290,[1]妻子表!$B:$B,0))</f>
        <v>M000218W01</v>
      </c>
      <c r="I290" t="str">
        <f>VLOOKUP(H290,[1]妻子表!$A:$D,4,0)</f>
        <v>刘氏</v>
      </c>
      <c r="J290" t="s">
        <v>359</v>
      </c>
      <c r="M290" t="s">
        <v>2069</v>
      </c>
      <c r="N290" t="s">
        <v>1284</v>
      </c>
      <c r="O290" t="s">
        <v>1116</v>
      </c>
      <c r="P290" t="s">
        <v>497</v>
      </c>
      <c r="T290" s="2" t="s">
        <v>2070</v>
      </c>
      <c r="U290" t="s">
        <v>2071</v>
      </c>
      <c r="Z290" t="s">
        <v>2072</v>
      </c>
      <c r="AA290" t="s">
        <v>2073</v>
      </c>
    </row>
    <row r="291" spans="1:27" x14ac:dyDescent="0.25">
      <c r="A291" t="s">
        <v>2074</v>
      </c>
      <c r="B291" t="s">
        <v>2075</v>
      </c>
      <c r="C291" t="s">
        <v>29</v>
      </c>
      <c r="D291" t="s">
        <v>1846</v>
      </c>
      <c r="E291" t="s">
        <v>358</v>
      </c>
      <c r="F291" t="s">
        <v>1697</v>
      </c>
      <c r="G291" t="s">
        <v>1698</v>
      </c>
      <c r="H291" t="str">
        <f>INDEX([1]妻子表!$A:$A,MATCH(F291,[1]妻子表!$B:$B,0))</f>
        <v>M000218W01</v>
      </c>
      <c r="I291" t="str">
        <f>VLOOKUP(H291,[1]妻子表!$A:$D,4,0)</f>
        <v>刘氏</v>
      </c>
      <c r="J291" t="s">
        <v>359</v>
      </c>
      <c r="M291" t="s">
        <v>2076</v>
      </c>
      <c r="N291" t="s">
        <v>912</v>
      </c>
      <c r="O291" t="s">
        <v>2077</v>
      </c>
      <c r="P291" t="s">
        <v>407</v>
      </c>
      <c r="AA291" t="s">
        <v>2078</v>
      </c>
    </row>
    <row r="292" spans="1:27" x14ac:dyDescent="0.25">
      <c r="A292" t="s">
        <v>2079</v>
      </c>
      <c r="B292" t="s">
        <v>2080</v>
      </c>
      <c r="C292" t="s">
        <v>29</v>
      </c>
      <c r="D292" t="s">
        <v>1846</v>
      </c>
      <c r="E292" t="s">
        <v>358</v>
      </c>
      <c r="F292" t="s">
        <v>1706</v>
      </c>
      <c r="G292" t="s">
        <v>1707</v>
      </c>
      <c r="H292" t="str">
        <f>INDEX([1]妻子表!$A:$A,MATCH(F292,[1]妻子表!$B:$B,0))</f>
        <v>M000219W01</v>
      </c>
      <c r="I292" t="str">
        <f>VLOOKUP(H292,[1]妻子表!$A:$D,4,0)</f>
        <v>刘氏</v>
      </c>
      <c r="J292" t="s">
        <v>359</v>
      </c>
      <c r="M292" t="s">
        <v>2081</v>
      </c>
      <c r="N292" t="s">
        <v>1492</v>
      </c>
      <c r="O292" t="s">
        <v>2082</v>
      </c>
      <c r="P292" t="s">
        <v>240</v>
      </c>
      <c r="AA292" t="s">
        <v>2083</v>
      </c>
    </row>
    <row r="293" spans="1:27" x14ac:dyDescent="0.25">
      <c r="A293" t="s">
        <v>2084</v>
      </c>
      <c r="B293" t="s">
        <v>2085</v>
      </c>
      <c r="C293" t="s">
        <v>29</v>
      </c>
      <c r="D293" t="s">
        <v>1846</v>
      </c>
      <c r="E293" t="s">
        <v>358</v>
      </c>
      <c r="F293" t="s">
        <v>1712</v>
      </c>
      <c r="G293" t="s">
        <v>1713</v>
      </c>
      <c r="H293" t="str">
        <f>INDEX([1]妻子表!$A:$A,MATCH(F293,[1]妻子表!$B:$B,0))</f>
        <v>M000220W01</v>
      </c>
      <c r="I293" t="str">
        <f>VLOOKUP(H293,[1]妻子表!$A:$D,4,0)</f>
        <v>陈氏</v>
      </c>
      <c r="J293" t="s">
        <v>359</v>
      </c>
      <c r="M293" t="s">
        <v>2086</v>
      </c>
      <c r="N293" t="s">
        <v>1295</v>
      </c>
      <c r="O293" t="s">
        <v>2087</v>
      </c>
      <c r="P293" t="s">
        <v>224</v>
      </c>
      <c r="AA293" t="s">
        <v>2088</v>
      </c>
    </row>
    <row r="294" spans="1:27" x14ac:dyDescent="0.25">
      <c r="A294" t="s">
        <v>2089</v>
      </c>
      <c r="B294" t="s">
        <v>2090</v>
      </c>
      <c r="C294" t="s">
        <v>29</v>
      </c>
      <c r="D294" t="s">
        <v>1846</v>
      </c>
      <c r="E294" t="s">
        <v>358</v>
      </c>
      <c r="F294" t="s">
        <v>1728</v>
      </c>
      <c r="G294" t="s">
        <v>1729</v>
      </c>
      <c r="I294" t="e">
        <f>VLOOKUP(H294,[1]妻子表!$A:$D,4,0)</f>
        <v>#N/A</v>
      </c>
      <c r="J294" t="s">
        <v>359</v>
      </c>
      <c r="AA294" t="s">
        <v>2091</v>
      </c>
    </row>
    <row r="295" spans="1:27" x14ac:dyDescent="0.25">
      <c r="A295" t="s">
        <v>2092</v>
      </c>
      <c r="B295" t="s">
        <v>2093</v>
      </c>
      <c r="C295" t="s">
        <v>29</v>
      </c>
      <c r="D295" t="s">
        <v>1846</v>
      </c>
      <c r="E295" t="s">
        <v>358</v>
      </c>
      <c r="F295" t="s">
        <v>1733</v>
      </c>
      <c r="G295" t="s">
        <v>1734</v>
      </c>
      <c r="H295" t="str">
        <f>INDEX([1]妻子表!$A:$A,MATCH(F295,[1]妻子表!$B:$B,0))</f>
        <v>M000224W01</v>
      </c>
      <c r="I295" t="str">
        <f>VLOOKUP(H295,[1]妻子表!$A:$D,4,0)</f>
        <v>某氏</v>
      </c>
      <c r="J295" t="s">
        <v>359</v>
      </c>
      <c r="M295" t="s">
        <v>2094</v>
      </c>
      <c r="N295" t="s">
        <v>1502</v>
      </c>
      <c r="O295" t="s">
        <v>2095</v>
      </c>
      <c r="P295" t="s">
        <v>497</v>
      </c>
      <c r="AA295" t="s">
        <v>2096</v>
      </c>
    </row>
    <row r="296" spans="1:27" x14ac:dyDescent="0.25">
      <c r="A296" t="s">
        <v>2097</v>
      </c>
      <c r="B296" t="s">
        <v>2098</v>
      </c>
      <c r="C296" t="s">
        <v>29</v>
      </c>
      <c r="D296" t="s">
        <v>1846</v>
      </c>
      <c r="E296" t="s">
        <v>358</v>
      </c>
      <c r="F296" t="s">
        <v>1733</v>
      </c>
      <c r="G296" t="s">
        <v>1734</v>
      </c>
      <c r="H296" t="str">
        <f>INDEX([1]妻子表!$A:$A,MATCH(F296,[1]妻子表!$B:$B,0))</f>
        <v>M000224W01</v>
      </c>
      <c r="I296" t="str">
        <f>VLOOKUP(H296,[1]妻子表!$A:$D,4,0)</f>
        <v>某氏</v>
      </c>
      <c r="J296" t="s">
        <v>359</v>
      </c>
      <c r="M296" t="s">
        <v>2099</v>
      </c>
      <c r="N296" t="s">
        <v>1266</v>
      </c>
      <c r="O296" t="s">
        <v>2100</v>
      </c>
      <c r="P296" t="s">
        <v>240</v>
      </c>
      <c r="AA296" t="s">
        <v>2101</v>
      </c>
    </row>
    <row r="297" spans="1:27" x14ac:dyDescent="0.25">
      <c r="A297" t="s">
        <v>2102</v>
      </c>
      <c r="B297" t="s">
        <v>2103</v>
      </c>
      <c r="C297" t="s">
        <v>29</v>
      </c>
      <c r="D297" t="s">
        <v>1846</v>
      </c>
      <c r="E297" t="s">
        <v>358</v>
      </c>
      <c r="F297" t="s">
        <v>1748</v>
      </c>
      <c r="G297" t="s">
        <v>1749</v>
      </c>
      <c r="H297" t="str">
        <f>INDEX([1]妻子表!$A:$A,MATCH(F297,[1]妻子表!$B:$B,0))</f>
        <v>M000226W01</v>
      </c>
      <c r="I297" t="str">
        <f>VLOOKUP(H297,[1]妻子表!$A:$D,4,0)</f>
        <v>刘氏</v>
      </c>
      <c r="J297" t="s">
        <v>359</v>
      </c>
      <c r="M297" t="s">
        <v>2104</v>
      </c>
      <c r="N297" t="s">
        <v>1994</v>
      </c>
      <c r="O297" t="s">
        <v>2105</v>
      </c>
      <c r="P297" t="s">
        <v>200</v>
      </c>
      <c r="T297" s="2" t="s">
        <v>2106</v>
      </c>
      <c r="U297" t="s">
        <v>174</v>
      </c>
      <c r="AA297" t="s">
        <v>2107</v>
      </c>
    </row>
    <row r="298" spans="1:27" x14ac:dyDescent="0.25">
      <c r="A298" t="s">
        <v>2108</v>
      </c>
      <c r="B298" t="s">
        <v>2109</v>
      </c>
      <c r="C298" t="s">
        <v>29</v>
      </c>
      <c r="D298" t="s">
        <v>1846</v>
      </c>
      <c r="E298" t="s">
        <v>358</v>
      </c>
      <c r="F298" t="s">
        <v>1769</v>
      </c>
      <c r="G298" t="s">
        <v>1770</v>
      </c>
      <c r="H298" t="str">
        <f>INDEX([1]妻子表!$A:$A,MATCH(F298,[1]妻子表!$B:$B,0))</f>
        <v>M000230W01</v>
      </c>
      <c r="I298" t="str">
        <f>VLOOKUP(H298,[1]妻子表!$A:$D,4,0)</f>
        <v>彭氏</v>
      </c>
      <c r="J298" t="s">
        <v>359</v>
      </c>
      <c r="M298" t="s">
        <v>2110</v>
      </c>
      <c r="N298" t="s">
        <v>1295</v>
      </c>
      <c r="O298" t="s">
        <v>2111</v>
      </c>
      <c r="P298" t="s">
        <v>224</v>
      </c>
      <c r="AA298" t="s">
        <v>2112</v>
      </c>
    </row>
    <row r="299" spans="1:27" x14ac:dyDescent="0.25">
      <c r="A299" t="s">
        <v>2113</v>
      </c>
      <c r="B299" t="s">
        <v>2114</v>
      </c>
      <c r="C299" t="s">
        <v>29</v>
      </c>
      <c r="D299" t="s">
        <v>1846</v>
      </c>
      <c r="E299" t="s">
        <v>358</v>
      </c>
      <c r="F299" t="s">
        <v>1780</v>
      </c>
      <c r="G299" t="s">
        <v>1781</v>
      </c>
      <c r="H299" t="str">
        <f>INDEX([1]妻子表!$A:$A,MATCH(F299,[1]妻子表!$B:$B,0))</f>
        <v>M000232W01</v>
      </c>
      <c r="I299" t="str">
        <f>VLOOKUP(H299,[1]妻子表!$A:$D,4,0)</f>
        <v>欧阳氏</v>
      </c>
      <c r="J299" t="s">
        <v>359</v>
      </c>
      <c r="M299" t="s">
        <v>2115</v>
      </c>
      <c r="N299" t="s">
        <v>1868</v>
      </c>
      <c r="O299" t="s">
        <v>2116</v>
      </c>
      <c r="P299" t="s">
        <v>458</v>
      </c>
      <c r="T299" s="2" t="s">
        <v>2117</v>
      </c>
      <c r="U299" t="s">
        <v>95</v>
      </c>
      <c r="AA299" t="s">
        <v>2118</v>
      </c>
    </row>
    <row r="300" spans="1:27" x14ac:dyDescent="0.25">
      <c r="A300" t="s">
        <v>2119</v>
      </c>
      <c r="B300" t="s">
        <v>2120</v>
      </c>
      <c r="C300" t="s">
        <v>29</v>
      </c>
      <c r="D300" t="s">
        <v>1846</v>
      </c>
      <c r="E300" t="s">
        <v>358</v>
      </c>
      <c r="F300" t="s">
        <v>1780</v>
      </c>
      <c r="G300" t="s">
        <v>1781</v>
      </c>
      <c r="H300" t="str">
        <f>INDEX([1]妻子表!$A:$A,MATCH(F300,[1]妻子表!$B:$B,0))</f>
        <v>M000232W01</v>
      </c>
      <c r="I300" t="str">
        <f>VLOOKUP(H300,[1]妻子表!$A:$D,4,0)</f>
        <v>欧阳氏</v>
      </c>
      <c r="J300" t="s">
        <v>359</v>
      </c>
      <c r="M300" t="s">
        <v>2121</v>
      </c>
      <c r="N300" t="s">
        <v>2122</v>
      </c>
      <c r="O300" t="s">
        <v>2123</v>
      </c>
      <c r="P300" t="s">
        <v>200</v>
      </c>
      <c r="AA300" t="s">
        <v>2124</v>
      </c>
    </row>
    <row r="301" spans="1:27" x14ac:dyDescent="0.25">
      <c r="A301" t="s">
        <v>2125</v>
      </c>
      <c r="B301" t="s">
        <v>2126</v>
      </c>
      <c r="C301" t="s">
        <v>29</v>
      </c>
      <c r="D301" t="s">
        <v>1846</v>
      </c>
      <c r="E301" t="s">
        <v>358</v>
      </c>
      <c r="F301" t="s">
        <v>1787</v>
      </c>
      <c r="G301" t="s">
        <v>1788</v>
      </c>
      <c r="H301" t="str">
        <f>INDEX([1]妻子表!$A:$A,MATCH(F301,[1]妻子表!$B:$B,0))</f>
        <v>M000233W01</v>
      </c>
      <c r="I301" t="str">
        <f>VLOOKUP(H301,[1]妻子表!$A:$D,4,0)</f>
        <v>陈氏</v>
      </c>
      <c r="J301" t="s">
        <v>359</v>
      </c>
      <c r="M301" t="s">
        <v>2121</v>
      </c>
      <c r="N301" t="s">
        <v>2122</v>
      </c>
      <c r="O301" t="s">
        <v>2123</v>
      </c>
      <c r="P301" t="s">
        <v>200</v>
      </c>
      <c r="AA301" t="s">
        <v>2127</v>
      </c>
    </row>
    <row r="302" spans="1:27" x14ac:dyDescent="0.25">
      <c r="A302" t="s">
        <v>2128</v>
      </c>
      <c r="B302" t="s">
        <v>2129</v>
      </c>
      <c r="C302" t="s">
        <v>29</v>
      </c>
      <c r="D302" t="s">
        <v>1846</v>
      </c>
      <c r="E302" t="s">
        <v>358</v>
      </c>
      <c r="F302" t="s">
        <v>1800</v>
      </c>
      <c r="G302" t="s">
        <v>1801</v>
      </c>
      <c r="H302" t="str">
        <f>INDEX([1]妻子表!$A:$A,MATCH(F302,[1]妻子表!$B:$B,0))</f>
        <v>M000235W01</v>
      </c>
      <c r="I302" t="str">
        <f>VLOOKUP(H302,[1]妻子表!$A:$D,4,0)</f>
        <v>彭氏</v>
      </c>
      <c r="J302" t="s">
        <v>359</v>
      </c>
      <c r="M302" t="s">
        <v>2130</v>
      </c>
      <c r="N302" t="s">
        <v>2050</v>
      </c>
      <c r="O302" t="s">
        <v>2131</v>
      </c>
      <c r="P302" t="s">
        <v>169</v>
      </c>
      <c r="AA302" t="s">
        <v>2132</v>
      </c>
    </row>
    <row r="303" spans="1:27" x14ac:dyDescent="0.25">
      <c r="A303" t="s">
        <v>2133</v>
      </c>
      <c r="B303" t="s">
        <v>2134</v>
      </c>
      <c r="C303" t="s">
        <v>29</v>
      </c>
      <c r="D303" t="s">
        <v>1846</v>
      </c>
      <c r="E303" t="s">
        <v>358</v>
      </c>
      <c r="F303" t="s">
        <v>1833</v>
      </c>
      <c r="G303" t="s">
        <v>1834</v>
      </c>
      <c r="H303" t="str">
        <f>INDEX([1]妻子表!$A:$A,MATCH(F303,[1]妻子表!$B:$B,0))</f>
        <v>M000244W01</v>
      </c>
      <c r="I303" t="str">
        <f>VLOOKUP(H303,[1]妻子表!$A:$D,4,0)</f>
        <v>尹氏</v>
      </c>
      <c r="J303" t="s">
        <v>359</v>
      </c>
      <c r="K303" t="s">
        <v>2135</v>
      </c>
      <c r="L303" t="s">
        <v>1864</v>
      </c>
      <c r="M303" t="s">
        <v>2136</v>
      </c>
      <c r="N303" t="s">
        <v>1482</v>
      </c>
      <c r="O303" t="s">
        <v>2137</v>
      </c>
      <c r="P303" t="s">
        <v>200</v>
      </c>
      <c r="Q303" t="s">
        <v>2138</v>
      </c>
      <c r="R303" t="s">
        <v>1939</v>
      </c>
      <c r="S303" t="s">
        <v>2139</v>
      </c>
      <c r="T303" s="2" t="s">
        <v>2140</v>
      </c>
      <c r="U303" t="s">
        <v>95</v>
      </c>
      <c r="AA303" t="s">
        <v>2141</v>
      </c>
    </row>
    <row r="304" spans="1:27" x14ac:dyDescent="0.25">
      <c r="A304" t="s">
        <v>2142</v>
      </c>
      <c r="B304" t="s">
        <v>2143</v>
      </c>
      <c r="C304" t="s">
        <v>29</v>
      </c>
      <c r="D304" t="s">
        <v>1911</v>
      </c>
      <c r="E304" t="s">
        <v>358</v>
      </c>
      <c r="F304" t="s">
        <v>1844</v>
      </c>
      <c r="G304" t="s">
        <v>1845</v>
      </c>
      <c r="H304" t="str">
        <f>INDEX([1]妻子表!$A:$A,MATCH(F304,[1]妻子表!$B:$B,0))</f>
        <v>M000245W01</v>
      </c>
      <c r="I304" t="str">
        <f>VLOOKUP(H304,[1]妻子表!$A:$D,4,0)</f>
        <v>刘氏</v>
      </c>
      <c r="J304" t="s">
        <v>359</v>
      </c>
      <c r="M304" t="s">
        <v>2144</v>
      </c>
      <c r="N304" t="s">
        <v>1321</v>
      </c>
      <c r="O304" t="s">
        <v>2145</v>
      </c>
      <c r="P304" t="s">
        <v>257</v>
      </c>
      <c r="T304" s="2" t="s">
        <v>2146</v>
      </c>
      <c r="U304" t="s">
        <v>138</v>
      </c>
      <c r="AA304" t="s">
        <v>2147</v>
      </c>
    </row>
    <row r="305" spans="1:27" x14ac:dyDescent="0.25">
      <c r="A305" t="s">
        <v>2148</v>
      </c>
      <c r="B305" t="s">
        <v>2149</v>
      </c>
      <c r="C305" t="s">
        <v>29</v>
      </c>
      <c r="D305" t="s">
        <v>1911</v>
      </c>
      <c r="E305" t="s">
        <v>358</v>
      </c>
      <c r="F305" t="s">
        <v>1855</v>
      </c>
      <c r="G305" t="s">
        <v>1856</v>
      </c>
      <c r="H305" t="str">
        <f>INDEX([1]妻子表!$A:$A,MATCH(F305,[1]妻子表!$B:$B,0))</f>
        <v>M000247W01</v>
      </c>
      <c r="I305" t="str">
        <f>VLOOKUP(H305,[1]妻子表!$A:$D,4,0)</f>
        <v>刘氏</v>
      </c>
      <c r="J305" t="s">
        <v>359</v>
      </c>
      <c r="M305" t="s">
        <v>2150</v>
      </c>
      <c r="N305" t="s">
        <v>1868</v>
      </c>
      <c r="O305" t="s">
        <v>2151</v>
      </c>
      <c r="P305" t="s">
        <v>458</v>
      </c>
      <c r="AA305" t="s">
        <v>2152</v>
      </c>
    </row>
    <row r="306" spans="1:27" x14ac:dyDescent="0.25">
      <c r="A306" t="s">
        <v>2153</v>
      </c>
      <c r="B306" t="s">
        <v>2154</v>
      </c>
      <c r="C306" t="s">
        <v>29</v>
      </c>
      <c r="D306" t="s">
        <v>1911</v>
      </c>
      <c r="E306" t="s">
        <v>358</v>
      </c>
      <c r="F306" t="s">
        <v>1855</v>
      </c>
      <c r="G306" t="s">
        <v>1856</v>
      </c>
      <c r="H306" t="str">
        <f>INDEX([1]妻子表!$A:$A,MATCH(F306,[1]妻子表!$B:$B,0))</f>
        <v>M000247W01</v>
      </c>
      <c r="I306" t="str">
        <f>VLOOKUP(H306,[1]妻子表!$A:$D,4,0)</f>
        <v>刘氏</v>
      </c>
      <c r="J306" t="s">
        <v>359</v>
      </c>
      <c r="M306" t="s">
        <v>2155</v>
      </c>
      <c r="N306" t="s">
        <v>2156</v>
      </c>
      <c r="O306" t="s">
        <v>2157</v>
      </c>
      <c r="P306" t="s">
        <v>200</v>
      </c>
      <c r="AA306" t="s">
        <v>2158</v>
      </c>
    </row>
    <row r="307" spans="1:27" x14ac:dyDescent="0.25">
      <c r="A307" t="s">
        <v>2159</v>
      </c>
      <c r="B307" t="s">
        <v>2160</v>
      </c>
      <c r="C307" t="s">
        <v>29</v>
      </c>
      <c r="D307" t="s">
        <v>1911</v>
      </c>
      <c r="E307" t="s">
        <v>358</v>
      </c>
      <c r="F307" t="s">
        <v>1862</v>
      </c>
      <c r="G307" t="s">
        <v>1863</v>
      </c>
      <c r="H307" t="str">
        <f>INDEX([1]妻子表!$A:$A,MATCH(F307,[1]妻子表!$B:$B,0))</f>
        <v>M000248W01</v>
      </c>
      <c r="I307" t="str">
        <f>VLOOKUP(H307,[1]妻子表!$A:$D,4,0)</f>
        <v>方氏</v>
      </c>
      <c r="J307" t="s">
        <v>359</v>
      </c>
      <c r="M307" t="s">
        <v>2161</v>
      </c>
      <c r="N307" t="s">
        <v>2162</v>
      </c>
      <c r="O307" t="s">
        <v>2163</v>
      </c>
      <c r="P307" t="s">
        <v>601</v>
      </c>
      <c r="T307" s="2" t="s">
        <v>2164</v>
      </c>
      <c r="U307" t="s">
        <v>2165</v>
      </c>
      <c r="AA307" t="s">
        <v>2166</v>
      </c>
    </row>
    <row r="308" spans="1:27" x14ac:dyDescent="0.25">
      <c r="A308" t="s">
        <v>2167</v>
      </c>
      <c r="B308" t="s">
        <v>2168</v>
      </c>
      <c r="C308" t="s">
        <v>29</v>
      </c>
      <c r="D308" t="s">
        <v>1911</v>
      </c>
      <c r="E308" t="s">
        <v>358</v>
      </c>
      <c r="F308" t="s">
        <v>1862</v>
      </c>
      <c r="G308" t="s">
        <v>1863</v>
      </c>
      <c r="H308" t="str">
        <f>INDEX([1]妻子表!$A:$A,MATCH(F308,[1]妻子表!$B:$B,0))</f>
        <v>M000248W01</v>
      </c>
      <c r="I308" t="str">
        <f>VLOOKUP(H308,[1]妻子表!$A:$D,4,0)</f>
        <v>方氏</v>
      </c>
      <c r="J308" t="s">
        <v>359</v>
      </c>
      <c r="M308" t="s">
        <v>2169</v>
      </c>
      <c r="N308" t="s">
        <v>1295</v>
      </c>
      <c r="O308" t="s">
        <v>2170</v>
      </c>
      <c r="P308" t="s">
        <v>224</v>
      </c>
      <c r="AA308" t="s">
        <v>2171</v>
      </c>
    </row>
    <row r="309" spans="1:27" x14ac:dyDescent="0.25">
      <c r="A309" t="s">
        <v>2172</v>
      </c>
      <c r="B309" t="s">
        <v>2173</v>
      </c>
      <c r="C309" t="s">
        <v>29</v>
      </c>
      <c r="D309" t="s">
        <v>1911</v>
      </c>
      <c r="E309" t="s">
        <v>358</v>
      </c>
      <c r="F309" t="s">
        <v>1880</v>
      </c>
      <c r="G309" t="s">
        <v>1881</v>
      </c>
      <c r="H309" t="str">
        <f>INDEX([1]妻子表!$A:$A,MATCH(F309,[1]妻子表!$B:$B,0))</f>
        <v>M000250W01</v>
      </c>
      <c r="I309" t="str">
        <f>VLOOKUP(H309,[1]妻子表!$A:$D,4,0)</f>
        <v>肖氏</v>
      </c>
      <c r="J309" t="s">
        <v>359</v>
      </c>
      <c r="M309" t="s">
        <v>2174</v>
      </c>
      <c r="N309" t="s">
        <v>2175</v>
      </c>
      <c r="O309" t="s">
        <v>2176</v>
      </c>
      <c r="P309" t="s">
        <v>315</v>
      </c>
      <c r="T309" s="2" t="s">
        <v>2177</v>
      </c>
      <c r="U309" t="s">
        <v>174</v>
      </c>
      <c r="AA309" t="s">
        <v>2178</v>
      </c>
    </row>
    <row r="310" spans="1:27" x14ac:dyDescent="0.25">
      <c r="A310" t="s">
        <v>2179</v>
      </c>
      <c r="B310" t="s">
        <v>2180</v>
      </c>
      <c r="C310" t="s">
        <v>29</v>
      </c>
      <c r="D310" t="s">
        <v>1911</v>
      </c>
      <c r="E310" t="s">
        <v>358</v>
      </c>
      <c r="F310" t="s">
        <v>1886</v>
      </c>
      <c r="G310" t="s">
        <v>1887</v>
      </c>
      <c r="H310" t="str">
        <f>INDEX([1]妻子表!$A:$A,MATCH(F310,[1]妻子表!$B:$B,0))</f>
        <v>M000251W01</v>
      </c>
      <c r="I310" t="str">
        <f>VLOOKUP(H310,[1]妻子表!$A:$D,4,0)</f>
        <v>王氏</v>
      </c>
      <c r="J310" t="s">
        <v>359</v>
      </c>
      <c r="M310" t="s">
        <v>2181</v>
      </c>
      <c r="N310" t="s">
        <v>1797</v>
      </c>
      <c r="O310" t="s">
        <v>2182</v>
      </c>
      <c r="P310" t="s">
        <v>184</v>
      </c>
      <c r="AA310" t="s">
        <v>2183</v>
      </c>
    </row>
    <row r="311" spans="1:27" x14ac:dyDescent="0.25">
      <c r="A311" t="s">
        <v>2184</v>
      </c>
      <c r="B311" t="s">
        <v>2185</v>
      </c>
      <c r="C311" t="s">
        <v>29</v>
      </c>
      <c r="D311" t="s">
        <v>1911</v>
      </c>
      <c r="E311" t="s">
        <v>358</v>
      </c>
      <c r="F311" t="s">
        <v>1886</v>
      </c>
      <c r="G311" t="s">
        <v>1887</v>
      </c>
      <c r="H311" t="str">
        <f>INDEX([1]妻子表!$A:$A,MATCH(F311,[1]妻子表!$B:$B,0))</f>
        <v>M000251W01</v>
      </c>
      <c r="I311" t="str">
        <f>VLOOKUP(H311,[1]妻子表!$A:$D,4,0)</f>
        <v>王氏</v>
      </c>
      <c r="J311" t="s">
        <v>359</v>
      </c>
      <c r="M311" t="s">
        <v>2186</v>
      </c>
      <c r="N311" t="s">
        <v>1740</v>
      </c>
      <c r="O311" t="s">
        <v>2187</v>
      </c>
      <c r="P311" t="s">
        <v>240</v>
      </c>
      <c r="AA311" t="s">
        <v>2188</v>
      </c>
    </row>
    <row r="312" spans="1:27" x14ac:dyDescent="0.25">
      <c r="A312" t="s">
        <v>2189</v>
      </c>
      <c r="B312" t="s">
        <v>2190</v>
      </c>
      <c r="C312" t="s">
        <v>29</v>
      </c>
      <c r="D312" t="s">
        <v>1911</v>
      </c>
      <c r="E312" t="s">
        <v>358</v>
      </c>
      <c r="F312" t="s">
        <v>1862</v>
      </c>
      <c r="G312" t="s">
        <v>1863</v>
      </c>
      <c r="H312" t="str">
        <f>INDEX([1]妻子表!$A:$A,MATCH(F312,[1]妻子表!$B:$B,0))</f>
        <v>M000248W01</v>
      </c>
      <c r="I312" t="str">
        <f>VLOOKUP(H312,[1]妻子表!$A:$D,4,0)</f>
        <v>方氏</v>
      </c>
      <c r="J312" t="s">
        <v>359</v>
      </c>
      <c r="M312" t="s">
        <v>2191</v>
      </c>
      <c r="N312" t="s">
        <v>1797</v>
      </c>
      <c r="O312" t="s">
        <v>2192</v>
      </c>
      <c r="P312" t="s">
        <v>184</v>
      </c>
      <c r="AA312" t="s">
        <v>2193</v>
      </c>
    </row>
    <row r="313" spans="1:27" x14ac:dyDescent="0.25">
      <c r="A313" t="s">
        <v>2194</v>
      </c>
      <c r="B313" t="s">
        <v>2195</v>
      </c>
      <c r="C313" t="s">
        <v>29</v>
      </c>
      <c r="D313" t="s">
        <v>1911</v>
      </c>
      <c r="E313" t="s">
        <v>358</v>
      </c>
      <c r="F313" t="s">
        <v>1886</v>
      </c>
      <c r="G313" t="s">
        <v>1887</v>
      </c>
      <c r="H313" t="str">
        <f>INDEX([1]妻子表!$A:$A,MATCH(F313,[1]妻子表!$B:$B,0))</f>
        <v>M000251W01</v>
      </c>
      <c r="I313" t="str">
        <f>VLOOKUP(H313,[1]妻子表!$A:$D,4,0)</f>
        <v>王氏</v>
      </c>
      <c r="J313" t="s">
        <v>359</v>
      </c>
      <c r="M313" t="s">
        <v>2196</v>
      </c>
      <c r="N313" t="s">
        <v>1640</v>
      </c>
      <c r="O313" t="s">
        <v>2197</v>
      </c>
      <c r="P313" t="s">
        <v>497</v>
      </c>
      <c r="AA313" t="s">
        <v>2198</v>
      </c>
    </row>
    <row r="314" spans="1:27" x14ac:dyDescent="0.25">
      <c r="A314" t="s">
        <v>2199</v>
      </c>
      <c r="B314" t="s">
        <v>2200</v>
      </c>
      <c r="C314" t="s">
        <v>29</v>
      </c>
      <c r="D314" t="s">
        <v>1911</v>
      </c>
      <c r="E314" t="s">
        <v>358</v>
      </c>
      <c r="F314" t="s">
        <v>1892</v>
      </c>
      <c r="G314" t="s">
        <v>1893</v>
      </c>
      <c r="H314" t="str">
        <f>INDEX([1]妻子表!$A:$A,MATCH(F314,[1]妻子表!$B:$B,0))</f>
        <v>M000252W01</v>
      </c>
      <c r="I314" t="str">
        <f>VLOOKUP(H314,[1]妻子表!$A:$D,4,0)</f>
        <v>刘氏</v>
      </c>
      <c r="J314" t="s">
        <v>359</v>
      </c>
      <c r="L314" t="s">
        <v>860</v>
      </c>
      <c r="M314" t="s">
        <v>2201</v>
      </c>
      <c r="N314" t="s">
        <v>1266</v>
      </c>
      <c r="O314" t="s">
        <v>2202</v>
      </c>
      <c r="P314" t="s">
        <v>240</v>
      </c>
      <c r="Q314" t="s">
        <v>2203</v>
      </c>
      <c r="R314" t="s">
        <v>2204</v>
      </c>
      <c r="S314" t="s">
        <v>2205</v>
      </c>
      <c r="T314" s="2" t="s">
        <v>2206</v>
      </c>
      <c r="U314" t="s">
        <v>882</v>
      </c>
      <c r="AA314" t="s">
        <v>2207</v>
      </c>
    </row>
    <row r="315" spans="1:27" x14ac:dyDescent="0.25">
      <c r="A315" t="s">
        <v>2208</v>
      </c>
      <c r="B315" t="s">
        <v>2209</v>
      </c>
      <c r="C315" t="s">
        <v>29</v>
      </c>
      <c r="D315" t="s">
        <v>1911</v>
      </c>
      <c r="E315" t="s">
        <v>358</v>
      </c>
      <c r="F315" t="s">
        <v>1901</v>
      </c>
      <c r="G315" t="s">
        <v>1902</v>
      </c>
      <c r="H315" t="str">
        <f>INDEX([1]妻子表!$A:$A,MATCH(F315,[1]妻子表!$B:$B,0))</f>
        <v>M000253W01</v>
      </c>
      <c r="I315" t="str">
        <f>VLOOKUP(H315,[1]妻子表!$A:$D,4,0)</f>
        <v>刘氏</v>
      </c>
      <c r="J315" t="s">
        <v>359</v>
      </c>
      <c r="M315" t="s">
        <v>2210</v>
      </c>
      <c r="N315" t="s">
        <v>2050</v>
      </c>
      <c r="O315" t="s">
        <v>2211</v>
      </c>
      <c r="P315" t="s">
        <v>169</v>
      </c>
      <c r="T315" s="2" t="s">
        <v>2212</v>
      </c>
      <c r="U315" t="s">
        <v>174</v>
      </c>
      <c r="AA315" t="s">
        <v>2213</v>
      </c>
    </row>
    <row r="316" spans="1:27" x14ac:dyDescent="0.25">
      <c r="A316" t="s">
        <v>2214</v>
      </c>
      <c r="B316" t="s">
        <v>2215</v>
      </c>
      <c r="C316" t="s">
        <v>29</v>
      </c>
      <c r="D316" t="s">
        <v>1911</v>
      </c>
      <c r="E316" t="s">
        <v>358</v>
      </c>
      <c r="F316" t="s">
        <v>1909</v>
      </c>
      <c r="G316" t="s">
        <v>1910</v>
      </c>
      <c r="H316" t="str">
        <f>INDEX([1]妻子表!$A:$A,MATCH(F316,[1]妻子表!$B:$B,0))</f>
        <v>M000254W01</v>
      </c>
      <c r="I316" t="str">
        <f>VLOOKUP(H316,[1]妻子表!$A:$D,4,0)</f>
        <v>刘氏</v>
      </c>
      <c r="J316" t="s">
        <v>359</v>
      </c>
      <c r="M316" t="s">
        <v>2216</v>
      </c>
      <c r="N316" t="s">
        <v>1168</v>
      </c>
      <c r="O316" t="s">
        <v>2217</v>
      </c>
      <c r="P316" t="s">
        <v>497</v>
      </c>
      <c r="AA316" t="s">
        <v>2218</v>
      </c>
    </row>
    <row r="317" spans="1:27" x14ac:dyDescent="0.25">
      <c r="A317" t="s">
        <v>2219</v>
      </c>
      <c r="B317" t="s">
        <v>2220</v>
      </c>
      <c r="C317" t="s">
        <v>29</v>
      </c>
      <c r="D317" t="s">
        <v>1911</v>
      </c>
      <c r="E317" t="s">
        <v>358</v>
      </c>
      <c r="F317" t="s">
        <v>1909</v>
      </c>
      <c r="G317" t="s">
        <v>1910</v>
      </c>
      <c r="H317" t="str">
        <f>INDEX([1]妻子表!$A:$A,MATCH(F317,[1]妻子表!$B:$B,0))</f>
        <v>M000254W01</v>
      </c>
      <c r="I317" t="str">
        <f>VLOOKUP(H317,[1]妻子表!$A:$D,4,0)</f>
        <v>刘氏</v>
      </c>
      <c r="J317" t="s">
        <v>359</v>
      </c>
      <c r="M317" t="s">
        <v>2221</v>
      </c>
      <c r="N317" t="s">
        <v>1740</v>
      </c>
      <c r="O317" t="s">
        <v>2222</v>
      </c>
      <c r="P317" t="s">
        <v>240</v>
      </c>
      <c r="AA317" t="s">
        <v>2223</v>
      </c>
    </row>
    <row r="318" spans="1:27" x14ac:dyDescent="0.25">
      <c r="A318" t="s">
        <v>2224</v>
      </c>
      <c r="B318" t="s">
        <v>2225</v>
      </c>
      <c r="C318" t="s">
        <v>29</v>
      </c>
      <c r="D318" t="s">
        <v>1911</v>
      </c>
      <c r="E318" t="s">
        <v>358</v>
      </c>
      <c r="F318" t="s">
        <v>1909</v>
      </c>
      <c r="G318" t="s">
        <v>1910</v>
      </c>
      <c r="H318" t="str">
        <f>INDEX([1]妻子表!$A:$A,MATCH(F318,[1]妻子表!$B:$B,0))</f>
        <v>M000254W01</v>
      </c>
      <c r="I318" t="str">
        <f>VLOOKUP(H318,[1]妻子表!$A:$D,4,0)</f>
        <v>刘氏</v>
      </c>
      <c r="J318" t="s">
        <v>359</v>
      </c>
      <c r="M318" t="s">
        <v>2226</v>
      </c>
      <c r="N318" t="s">
        <v>1754</v>
      </c>
      <c r="O318" t="s">
        <v>2227</v>
      </c>
      <c r="P318" t="s">
        <v>315</v>
      </c>
      <c r="AA318" t="s">
        <v>2228</v>
      </c>
    </row>
    <row r="319" spans="1:27" x14ac:dyDescent="0.25">
      <c r="A319" t="s">
        <v>2229</v>
      </c>
      <c r="B319" t="s">
        <v>2230</v>
      </c>
      <c r="C319" t="s">
        <v>29</v>
      </c>
      <c r="D319" t="s">
        <v>1911</v>
      </c>
      <c r="E319" t="s">
        <v>358</v>
      </c>
      <c r="F319" t="s">
        <v>1919</v>
      </c>
      <c r="G319" t="s">
        <v>1920</v>
      </c>
      <c r="H319" t="str">
        <f>INDEX([1]妻子表!$A:$A,MATCH(F319,[1]妻子表!$B:$B,0))</f>
        <v>M000255W01</v>
      </c>
      <c r="I319" t="str">
        <f>VLOOKUP(H319,[1]妻子表!$A:$D,4,0)</f>
        <v>唐氏</v>
      </c>
      <c r="J319" t="s">
        <v>359</v>
      </c>
      <c r="M319" t="s">
        <v>2231</v>
      </c>
      <c r="N319" t="s">
        <v>1754</v>
      </c>
      <c r="O319" t="s">
        <v>2232</v>
      </c>
      <c r="P319" t="s">
        <v>315</v>
      </c>
      <c r="T319" s="2" t="s">
        <v>2233</v>
      </c>
      <c r="U319" t="s">
        <v>138</v>
      </c>
      <c r="AA319" t="s">
        <v>2234</v>
      </c>
    </row>
    <row r="320" spans="1:27" x14ac:dyDescent="0.25">
      <c r="A320" t="s">
        <v>2235</v>
      </c>
      <c r="B320" t="s">
        <v>2236</v>
      </c>
      <c r="C320" t="s">
        <v>29</v>
      </c>
      <c r="D320" t="s">
        <v>1911</v>
      </c>
      <c r="E320" t="s">
        <v>358</v>
      </c>
      <c r="F320" t="s">
        <v>1942</v>
      </c>
      <c r="G320" t="s">
        <v>1943</v>
      </c>
      <c r="H320" t="str">
        <f>INDEX([1]妻子表!$A:$A,MATCH(F320,[1]妻子表!$B:$B,0))</f>
        <v>M000259W01</v>
      </c>
      <c r="I320" t="str">
        <f>VLOOKUP(H320,[1]妻子表!$A:$D,4,0)</f>
        <v>辛氏</v>
      </c>
      <c r="J320" t="s">
        <v>359</v>
      </c>
      <c r="M320" t="s">
        <v>2237</v>
      </c>
      <c r="N320" t="s">
        <v>1295</v>
      </c>
      <c r="O320" t="s">
        <v>2238</v>
      </c>
      <c r="P320" t="s">
        <v>224</v>
      </c>
      <c r="AA320" t="s">
        <v>2239</v>
      </c>
    </row>
    <row r="321" spans="1:27" x14ac:dyDescent="0.25">
      <c r="A321" t="s">
        <v>2240</v>
      </c>
      <c r="B321" t="s">
        <v>2241</v>
      </c>
      <c r="C321" t="s">
        <v>29</v>
      </c>
      <c r="D321" t="s">
        <v>1911</v>
      </c>
      <c r="E321" t="s">
        <v>358</v>
      </c>
      <c r="F321" t="s">
        <v>1942</v>
      </c>
      <c r="G321" t="s">
        <v>1943</v>
      </c>
      <c r="H321" t="str">
        <f>INDEX([1]妻子表!$A:$A,MATCH(F321,[1]妻子表!$B:$B,0))</f>
        <v>M000259W01</v>
      </c>
      <c r="I321" t="str">
        <f>VLOOKUP(H321,[1]妻子表!$A:$D,4,0)</f>
        <v>辛氏</v>
      </c>
      <c r="J321" t="s">
        <v>359</v>
      </c>
      <c r="M321" t="s">
        <v>2242</v>
      </c>
      <c r="N321" t="s">
        <v>2156</v>
      </c>
      <c r="O321" t="s">
        <v>2243</v>
      </c>
      <c r="P321" t="s">
        <v>200</v>
      </c>
      <c r="AA321" t="s">
        <v>2244</v>
      </c>
    </row>
    <row r="322" spans="1:27" x14ac:dyDescent="0.25">
      <c r="A322" t="s">
        <v>2245</v>
      </c>
      <c r="B322" t="s">
        <v>2246</v>
      </c>
      <c r="C322" t="s">
        <v>29</v>
      </c>
      <c r="D322" t="s">
        <v>1911</v>
      </c>
      <c r="E322" t="s">
        <v>358</v>
      </c>
      <c r="F322" t="s">
        <v>1942</v>
      </c>
      <c r="G322" t="s">
        <v>1943</v>
      </c>
      <c r="H322" t="str">
        <f>INDEX([1]妻子表!$A:$A,MATCH(F322,[1]妻子表!$B:$B,0))</f>
        <v>M000259W01</v>
      </c>
      <c r="I322" t="str">
        <f>VLOOKUP(H322,[1]妻子表!$A:$D,4,0)</f>
        <v>辛氏</v>
      </c>
      <c r="J322" t="s">
        <v>359</v>
      </c>
      <c r="M322" t="s">
        <v>2247</v>
      </c>
      <c r="N322" t="s">
        <v>2248</v>
      </c>
      <c r="O322" t="s">
        <v>2249</v>
      </c>
      <c r="P322" t="s">
        <v>601</v>
      </c>
      <c r="AA322" t="s">
        <v>2250</v>
      </c>
    </row>
    <row r="323" spans="1:27" x14ac:dyDescent="0.25">
      <c r="A323" t="s">
        <v>2251</v>
      </c>
      <c r="B323" t="s">
        <v>2252</v>
      </c>
      <c r="C323" t="s">
        <v>29</v>
      </c>
      <c r="D323" t="s">
        <v>1911</v>
      </c>
      <c r="E323" t="s">
        <v>358</v>
      </c>
      <c r="F323" t="s">
        <v>1942</v>
      </c>
      <c r="G323" t="s">
        <v>1943</v>
      </c>
      <c r="H323" t="str">
        <f>INDEX([1]妻子表!$A:$A,MATCH(F323,[1]妻子表!$B:$B,0))</f>
        <v>M000259W01</v>
      </c>
      <c r="I323" t="str">
        <f>VLOOKUP(H323,[1]妻子表!$A:$D,4,0)</f>
        <v>辛氏</v>
      </c>
      <c r="J323" t="s">
        <v>359</v>
      </c>
      <c r="M323" t="s">
        <v>2253</v>
      </c>
      <c r="N323" t="s">
        <v>2254</v>
      </c>
      <c r="O323" t="s">
        <v>2255</v>
      </c>
      <c r="P323" t="s">
        <v>184</v>
      </c>
      <c r="AA323" t="s">
        <v>2256</v>
      </c>
    </row>
    <row r="324" spans="1:27" x14ac:dyDescent="0.25">
      <c r="A324" t="s">
        <v>2257</v>
      </c>
      <c r="B324" t="s">
        <v>2258</v>
      </c>
      <c r="C324" t="s">
        <v>29</v>
      </c>
      <c r="D324" t="s">
        <v>1911</v>
      </c>
      <c r="E324" t="s">
        <v>358</v>
      </c>
      <c r="F324" t="s">
        <v>1961</v>
      </c>
      <c r="G324" t="s">
        <v>1962</v>
      </c>
      <c r="H324" t="str">
        <f>INDEX([1]妻子表!$A:$A,MATCH(F324,[1]妻子表!$B:$B,0))</f>
        <v>M000263W01</v>
      </c>
      <c r="I324" t="str">
        <f>VLOOKUP(H324,[1]妻子表!$A:$D,4,0)</f>
        <v>鲁氏</v>
      </c>
      <c r="J324" t="s">
        <v>359</v>
      </c>
      <c r="M324" t="s">
        <v>2259</v>
      </c>
      <c r="N324" t="s">
        <v>1797</v>
      </c>
      <c r="O324" t="s">
        <v>2260</v>
      </c>
      <c r="P324" t="s">
        <v>184</v>
      </c>
      <c r="AA324" t="s">
        <v>2261</v>
      </c>
    </row>
    <row r="325" spans="1:27" x14ac:dyDescent="0.25">
      <c r="A325" t="s">
        <v>2262</v>
      </c>
      <c r="B325" t="s">
        <v>2263</v>
      </c>
      <c r="C325" t="s">
        <v>29</v>
      </c>
      <c r="D325" t="s">
        <v>1911</v>
      </c>
      <c r="E325" t="s">
        <v>358</v>
      </c>
      <c r="F325" t="s">
        <v>1991</v>
      </c>
      <c r="G325" t="s">
        <v>1992</v>
      </c>
      <c r="H325" t="str">
        <f>INDEX([1]妻子表!$A:$A,MATCH(F325,[1]妻子表!$B:$B,0))</f>
        <v>M000269W01</v>
      </c>
      <c r="I325" t="str">
        <f>VLOOKUP(H325,[1]妻子表!$A:$D,4,0)</f>
        <v>蘓氏</v>
      </c>
      <c r="J325" t="s">
        <v>359</v>
      </c>
      <c r="M325" t="s">
        <v>2264</v>
      </c>
      <c r="N325" t="s">
        <v>2265</v>
      </c>
      <c r="O325" t="s">
        <v>2266</v>
      </c>
      <c r="P325" t="s">
        <v>224</v>
      </c>
      <c r="AA325" t="s">
        <v>2267</v>
      </c>
    </row>
    <row r="326" spans="1:27" x14ac:dyDescent="0.25">
      <c r="A326" t="s">
        <v>2268</v>
      </c>
      <c r="B326" t="s">
        <v>2269</v>
      </c>
      <c r="C326" t="s">
        <v>29</v>
      </c>
      <c r="D326" t="s">
        <v>1911</v>
      </c>
      <c r="E326" t="s">
        <v>358</v>
      </c>
      <c r="F326" t="s">
        <v>1991</v>
      </c>
      <c r="G326" t="s">
        <v>1992</v>
      </c>
      <c r="H326" t="str">
        <f>INDEX([1]妻子表!$A:$A,MATCH(F326,[1]妻子表!$B:$B,0))</f>
        <v>M000269W01</v>
      </c>
      <c r="I326" t="str">
        <f>VLOOKUP(H326,[1]妻子表!$A:$D,4,0)</f>
        <v>蘓氏</v>
      </c>
      <c r="J326" t="s">
        <v>359</v>
      </c>
      <c r="M326" t="s">
        <v>2270</v>
      </c>
      <c r="N326" t="s">
        <v>2271</v>
      </c>
      <c r="O326" t="s">
        <v>2272</v>
      </c>
      <c r="P326" t="s">
        <v>108</v>
      </c>
      <c r="AA326" t="s">
        <v>2273</v>
      </c>
    </row>
    <row r="327" spans="1:27" x14ac:dyDescent="0.25">
      <c r="A327" t="s">
        <v>2274</v>
      </c>
      <c r="B327" t="s">
        <v>2275</v>
      </c>
      <c r="C327" t="s">
        <v>29</v>
      </c>
      <c r="D327" t="s">
        <v>1911</v>
      </c>
      <c r="E327" t="s">
        <v>358</v>
      </c>
      <c r="F327" t="s">
        <v>1999</v>
      </c>
      <c r="G327" t="s">
        <v>2000</v>
      </c>
      <c r="H327" t="str">
        <f>INDEX([1]妻子表!$A:$A,MATCH(F327,[1]妻子表!$B:$B,0))</f>
        <v>M000270W02</v>
      </c>
      <c r="I327" t="str">
        <f>VLOOKUP(H327,[1]妻子表!$A:$D,4,0)</f>
        <v>刘氏</v>
      </c>
      <c r="J327" t="s">
        <v>359</v>
      </c>
      <c r="T327" s="2" t="s">
        <v>2276</v>
      </c>
      <c r="U327" t="s">
        <v>245</v>
      </c>
      <c r="AA327" t="s">
        <v>2277</v>
      </c>
    </row>
    <row r="328" spans="1:27" x14ac:dyDescent="0.25">
      <c r="A328" t="s">
        <v>2278</v>
      </c>
      <c r="B328" t="s">
        <v>2279</v>
      </c>
      <c r="C328" t="s">
        <v>29</v>
      </c>
      <c r="D328" t="s">
        <v>1911</v>
      </c>
      <c r="E328" t="s">
        <v>358</v>
      </c>
      <c r="F328" t="s">
        <v>2029</v>
      </c>
      <c r="G328" t="s">
        <v>2030</v>
      </c>
      <c r="H328" t="str">
        <f>INDEX([1]妻子表!$A:$A,MATCH(F328,[1]妻子表!$B:$B,0))</f>
        <v>M000276W01</v>
      </c>
      <c r="I328" t="str">
        <f>VLOOKUP(H328,[1]妻子表!$A:$D,4,0)</f>
        <v>欧氏</v>
      </c>
      <c r="J328" t="s">
        <v>359</v>
      </c>
      <c r="L328" t="s">
        <v>351</v>
      </c>
      <c r="M328" t="s">
        <v>2280</v>
      </c>
      <c r="N328" t="s">
        <v>1754</v>
      </c>
      <c r="O328" t="s">
        <v>2281</v>
      </c>
      <c r="P328" t="s">
        <v>315</v>
      </c>
      <c r="Q328" t="s">
        <v>2282</v>
      </c>
      <c r="R328" t="s">
        <v>2283</v>
      </c>
      <c r="S328" t="s">
        <v>2284</v>
      </c>
      <c r="AA328" t="s">
        <v>2285</v>
      </c>
    </row>
    <row r="329" spans="1:27" x14ac:dyDescent="0.25">
      <c r="A329" t="s">
        <v>2286</v>
      </c>
      <c r="B329" t="s">
        <v>2287</v>
      </c>
      <c r="C329" t="s">
        <v>29</v>
      </c>
      <c r="D329" t="s">
        <v>1911</v>
      </c>
      <c r="E329" t="s">
        <v>358</v>
      </c>
      <c r="F329" t="s">
        <v>2047</v>
      </c>
      <c r="G329" t="s">
        <v>2048</v>
      </c>
      <c r="H329" t="str">
        <f>INDEX([1]妻子表!$A:$A,MATCH(F329,[1]妻子表!$B:$B,0))</f>
        <v>M000279W01</v>
      </c>
      <c r="I329" t="str">
        <f>VLOOKUP(H329,[1]妻子表!$A:$D,4,0)</f>
        <v>唐氏</v>
      </c>
      <c r="J329" t="s">
        <v>359</v>
      </c>
      <c r="M329" t="s">
        <v>2288</v>
      </c>
      <c r="N329" t="s">
        <v>2289</v>
      </c>
      <c r="O329" t="s">
        <v>2290</v>
      </c>
      <c r="P329" t="s">
        <v>240</v>
      </c>
      <c r="AA329" t="s">
        <v>2291</v>
      </c>
    </row>
    <row r="330" spans="1:27" x14ac:dyDescent="0.25">
      <c r="A330" t="s">
        <v>2292</v>
      </c>
      <c r="B330" t="s">
        <v>2293</v>
      </c>
      <c r="C330" t="s">
        <v>29</v>
      </c>
      <c r="D330" t="s">
        <v>1911</v>
      </c>
      <c r="E330" t="s">
        <v>358</v>
      </c>
      <c r="F330" t="s">
        <v>2054</v>
      </c>
      <c r="G330" t="s">
        <v>2055</v>
      </c>
      <c r="H330" t="str">
        <f>INDEX([1]妻子表!$A:$A,MATCH(F330,[1]妻子表!$B:$B,0))</f>
        <v>M000280W01</v>
      </c>
      <c r="I330" t="str">
        <f>VLOOKUP(H330,[1]妻子表!$A:$D,4,0)</f>
        <v>孙氏</v>
      </c>
      <c r="J330" t="s">
        <v>359</v>
      </c>
      <c r="T330" s="2" t="s">
        <v>2294</v>
      </c>
      <c r="U330" t="s">
        <v>2060</v>
      </c>
      <c r="AA330" t="s">
        <v>2295</v>
      </c>
    </row>
    <row r="331" spans="1:27" x14ac:dyDescent="0.25">
      <c r="A331" t="s">
        <v>2296</v>
      </c>
      <c r="B331" t="s">
        <v>2297</v>
      </c>
      <c r="C331" t="s">
        <v>29</v>
      </c>
      <c r="D331" t="s">
        <v>1911</v>
      </c>
      <c r="E331" t="s">
        <v>358</v>
      </c>
      <c r="F331" t="s">
        <v>2054</v>
      </c>
      <c r="G331" t="s">
        <v>2055</v>
      </c>
      <c r="H331" t="str">
        <f>INDEX([1]妻子表!$A:$A,MATCH(F331,[1]妻子表!$B:$B,0))</f>
        <v>M000280W01</v>
      </c>
      <c r="I331" t="str">
        <f>VLOOKUP(H331,[1]妻子表!$A:$D,4,0)</f>
        <v>孙氏</v>
      </c>
      <c r="J331" t="s">
        <v>359</v>
      </c>
      <c r="AA331" t="s">
        <v>489</v>
      </c>
    </row>
    <row r="332" spans="1:27" x14ac:dyDescent="0.25">
      <c r="A332" t="s">
        <v>2298</v>
      </c>
      <c r="B332" t="s">
        <v>2299</v>
      </c>
      <c r="C332" t="s">
        <v>29</v>
      </c>
      <c r="D332" t="s">
        <v>1911</v>
      </c>
      <c r="E332" t="s">
        <v>358</v>
      </c>
      <c r="F332" t="s">
        <v>2067</v>
      </c>
      <c r="G332" t="s">
        <v>2068</v>
      </c>
      <c r="H332" t="str">
        <f>INDEX([1]妻子表!$A:$A,MATCH(F332,[1]妻子表!$B:$B,0))</f>
        <v>M000282W01</v>
      </c>
      <c r="I332" t="str">
        <f>VLOOKUP(H332,[1]妻子表!$A:$D,4,0)</f>
        <v>龙氏</v>
      </c>
      <c r="J332" t="s">
        <v>359</v>
      </c>
      <c r="M332" t="s">
        <v>2300</v>
      </c>
      <c r="N332" t="s">
        <v>2301</v>
      </c>
      <c r="O332" t="s">
        <v>2302</v>
      </c>
      <c r="P332" t="s">
        <v>224</v>
      </c>
      <c r="AA332" t="s">
        <v>2303</v>
      </c>
    </row>
    <row r="333" spans="1:27" x14ac:dyDescent="0.25">
      <c r="A333" t="s">
        <v>2304</v>
      </c>
      <c r="B333" t="s">
        <v>2305</v>
      </c>
      <c r="C333" t="s">
        <v>29</v>
      </c>
      <c r="D333" t="s">
        <v>1911</v>
      </c>
      <c r="E333" t="s">
        <v>358</v>
      </c>
      <c r="F333" t="s">
        <v>2067</v>
      </c>
      <c r="G333" t="s">
        <v>2068</v>
      </c>
      <c r="H333" t="str">
        <f>INDEX([1]妻子表!$A:$A,MATCH(F333,[1]妻子表!$B:$B,0))</f>
        <v>M000282W01</v>
      </c>
      <c r="I333" t="str">
        <f>VLOOKUP(H333,[1]妻子表!$A:$D,4,0)</f>
        <v>龙氏</v>
      </c>
      <c r="J333" t="s">
        <v>359</v>
      </c>
      <c r="M333" t="s">
        <v>2306</v>
      </c>
      <c r="N333" t="s">
        <v>2156</v>
      </c>
      <c r="O333" t="s">
        <v>2307</v>
      </c>
      <c r="P333" t="s">
        <v>200</v>
      </c>
      <c r="T333" s="2" t="s">
        <v>2308</v>
      </c>
      <c r="U333" t="s">
        <v>138</v>
      </c>
      <c r="AA333" t="s">
        <v>2309</v>
      </c>
    </row>
    <row r="334" spans="1:27" x14ac:dyDescent="0.25">
      <c r="A334" t="s">
        <v>2310</v>
      </c>
      <c r="B334" t="s">
        <v>2311</v>
      </c>
      <c r="C334" t="s">
        <v>29</v>
      </c>
      <c r="D334" t="s">
        <v>1911</v>
      </c>
      <c r="E334" t="s">
        <v>358</v>
      </c>
      <c r="F334" t="s">
        <v>2067</v>
      </c>
      <c r="G334" t="s">
        <v>2068</v>
      </c>
      <c r="H334" t="str">
        <f>INDEX([1]妻子表!$A:$A,MATCH(F334,[1]妻子表!$B:$B,0))</f>
        <v>M000282W01</v>
      </c>
      <c r="I334" t="str">
        <f>VLOOKUP(H334,[1]妻子表!$A:$D,4,0)</f>
        <v>龙氏</v>
      </c>
      <c r="J334" t="s">
        <v>359</v>
      </c>
      <c r="M334" t="s">
        <v>2312</v>
      </c>
      <c r="N334" t="s">
        <v>2156</v>
      </c>
      <c r="O334" t="s">
        <v>2313</v>
      </c>
      <c r="P334" t="s">
        <v>200</v>
      </c>
      <c r="AA334" t="s">
        <v>2314</v>
      </c>
    </row>
    <row r="335" spans="1:27" x14ac:dyDescent="0.25">
      <c r="A335" t="s">
        <v>2315</v>
      </c>
      <c r="B335" t="s">
        <v>2316</v>
      </c>
      <c r="C335" t="s">
        <v>29</v>
      </c>
      <c r="D335" t="s">
        <v>1911</v>
      </c>
      <c r="E335" t="s">
        <v>358</v>
      </c>
      <c r="F335" t="s">
        <v>2113</v>
      </c>
      <c r="G335" t="s">
        <v>2114</v>
      </c>
      <c r="H335" t="str">
        <f>INDEX([1]妻子表!$A:$A,MATCH(F335,[1]妻子表!$B:$B,0))</f>
        <v>M000291W01</v>
      </c>
      <c r="I335" t="str">
        <f>VLOOKUP(H335,[1]妻子表!$A:$D,4,0)</f>
        <v>彭氏</v>
      </c>
      <c r="J335" t="s">
        <v>359</v>
      </c>
      <c r="M335" t="s">
        <v>2317</v>
      </c>
      <c r="N335" t="s">
        <v>2318</v>
      </c>
      <c r="O335" t="s">
        <v>2319</v>
      </c>
      <c r="P335" t="s">
        <v>315</v>
      </c>
      <c r="AA335" t="s">
        <v>2320</v>
      </c>
    </row>
    <row r="336" spans="1:27" x14ac:dyDescent="0.25">
      <c r="A336" t="s">
        <v>2321</v>
      </c>
      <c r="B336" t="s">
        <v>2322</v>
      </c>
      <c r="C336" t="s">
        <v>29</v>
      </c>
      <c r="D336" t="s">
        <v>1911</v>
      </c>
      <c r="E336" t="s">
        <v>358</v>
      </c>
      <c r="F336" t="s">
        <v>2084</v>
      </c>
      <c r="G336" t="s">
        <v>2085</v>
      </c>
      <c r="J336" t="s">
        <v>359</v>
      </c>
      <c r="AA336" t="s">
        <v>2323</v>
      </c>
    </row>
    <row r="337" spans="1:27" x14ac:dyDescent="0.25">
      <c r="A337" t="s">
        <v>2324</v>
      </c>
      <c r="B337" t="s">
        <v>2325</v>
      </c>
      <c r="C337" t="s">
        <v>29</v>
      </c>
      <c r="D337" t="s">
        <v>1911</v>
      </c>
      <c r="E337" t="s">
        <v>358</v>
      </c>
      <c r="F337" t="s">
        <v>2133</v>
      </c>
      <c r="G337" t="s">
        <v>2134</v>
      </c>
      <c r="H337" t="str">
        <f>INDEX([1]妻子表!$A:$A,MATCH(F337,[1]妻子表!$B:$B,0))</f>
        <v>M000295W01</v>
      </c>
      <c r="I337" t="str">
        <f>VLOOKUP(H337,[1]妻子表!$A:$D,4,0)</f>
        <v>彭氏</v>
      </c>
      <c r="J337" t="s">
        <v>359</v>
      </c>
      <c r="M337" t="s">
        <v>2326</v>
      </c>
      <c r="N337" t="s">
        <v>1790</v>
      </c>
      <c r="O337" t="s">
        <v>2327</v>
      </c>
      <c r="P337" t="s">
        <v>257</v>
      </c>
      <c r="T337" s="2" t="s">
        <v>2328</v>
      </c>
      <c r="U337" t="s">
        <v>174</v>
      </c>
      <c r="AA337" t="s">
        <v>2329</v>
      </c>
    </row>
    <row r="338" spans="1:27" x14ac:dyDescent="0.25">
      <c r="A338" t="s">
        <v>2330</v>
      </c>
      <c r="B338" t="s">
        <v>2331</v>
      </c>
      <c r="C338" t="s">
        <v>29</v>
      </c>
      <c r="D338" t="s">
        <v>1911</v>
      </c>
      <c r="E338" t="s">
        <v>358</v>
      </c>
      <c r="F338" t="s">
        <v>2133</v>
      </c>
      <c r="G338" t="s">
        <v>2134</v>
      </c>
      <c r="H338" t="str">
        <f>INDEX([1]妻子表!$A:$A,MATCH(F338,[1]妻子表!$B:$B,0))</f>
        <v>M000295W01</v>
      </c>
      <c r="I338" t="str">
        <f>VLOOKUP(H338,[1]妻子表!$A:$D,4,0)</f>
        <v>彭氏</v>
      </c>
      <c r="J338" t="s">
        <v>359</v>
      </c>
      <c r="M338" t="s">
        <v>2332</v>
      </c>
      <c r="N338" t="s">
        <v>1168</v>
      </c>
      <c r="O338" t="s">
        <v>2333</v>
      </c>
      <c r="P338" t="s">
        <v>497</v>
      </c>
      <c r="T338" s="2" t="s">
        <v>2334</v>
      </c>
      <c r="U338" t="s">
        <v>174</v>
      </c>
      <c r="AA338" t="s">
        <v>2335</v>
      </c>
    </row>
    <row r="339" spans="1:27" x14ac:dyDescent="0.25">
      <c r="A339" t="s">
        <v>2336</v>
      </c>
      <c r="B339" t="s">
        <v>2337</v>
      </c>
      <c r="C339" t="s">
        <v>29</v>
      </c>
      <c r="D339" t="s">
        <v>2338</v>
      </c>
      <c r="E339" t="s">
        <v>358</v>
      </c>
      <c r="F339" t="s">
        <v>2142</v>
      </c>
      <c r="G339" t="s">
        <v>2143</v>
      </c>
      <c r="H339" t="str">
        <f>INDEX([1]妻子表!$A:$A,MATCH(F339,[1]妻子表!$B:$B,0))</f>
        <v>M000296W01</v>
      </c>
      <c r="I339" t="str">
        <f>VLOOKUP(H339,[1]妻子表!$A:$D,4,0)</f>
        <v>李氏</v>
      </c>
      <c r="J339" t="s">
        <v>359</v>
      </c>
      <c r="AA339" t="s">
        <v>489</v>
      </c>
    </row>
    <row r="340" spans="1:27" x14ac:dyDescent="0.25">
      <c r="A340" t="s">
        <v>2339</v>
      </c>
      <c r="B340" t="s">
        <v>2340</v>
      </c>
      <c r="C340" t="s">
        <v>29</v>
      </c>
      <c r="D340" t="s">
        <v>2338</v>
      </c>
      <c r="E340" t="s">
        <v>358</v>
      </c>
      <c r="F340" t="s">
        <v>2142</v>
      </c>
      <c r="G340" t="s">
        <v>2143</v>
      </c>
      <c r="H340" t="str">
        <f>INDEX([1]妻子表!$A:$A,MATCH(F340,[1]妻子表!$B:$B,0))</f>
        <v>M000296W01</v>
      </c>
      <c r="I340" t="str">
        <f>VLOOKUP(H340,[1]妻子表!$A:$D,4,0)</f>
        <v>李氏</v>
      </c>
      <c r="J340" t="s">
        <v>359</v>
      </c>
      <c r="AA340" t="s">
        <v>489</v>
      </c>
    </row>
    <row r="341" spans="1:27" x14ac:dyDescent="0.25">
      <c r="A341" t="s">
        <v>2341</v>
      </c>
      <c r="B341" t="s">
        <v>2342</v>
      </c>
      <c r="C341" t="s">
        <v>29</v>
      </c>
      <c r="D341" t="s">
        <v>2338</v>
      </c>
      <c r="E341" t="s">
        <v>358</v>
      </c>
      <c r="F341" t="s">
        <v>2159</v>
      </c>
      <c r="G341" t="s">
        <v>2160</v>
      </c>
      <c r="H341" t="str">
        <f>INDEX([1]妻子表!$A:$A,MATCH(F341,[1]妻子表!$B:$B,0))</f>
        <v>M000299W01</v>
      </c>
      <c r="I341" t="str">
        <f>VLOOKUP(H341,[1]妻子表!$A:$D,4,0)</f>
        <v>邓氏</v>
      </c>
      <c r="J341" t="s">
        <v>359</v>
      </c>
      <c r="AA341" t="s">
        <v>489</v>
      </c>
    </row>
    <row r="342" spans="1:27" x14ac:dyDescent="0.25">
      <c r="A342" t="s">
        <v>2343</v>
      </c>
      <c r="B342" t="s">
        <v>2344</v>
      </c>
      <c r="C342" t="s">
        <v>29</v>
      </c>
      <c r="D342" t="s">
        <v>2338</v>
      </c>
      <c r="E342" t="s">
        <v>358</v>
      </c>
      <c r="F342" t="s">
        <v>2159</v>
      </c>
      <c r="G342" t="s">
        <v>2160</v>
      </c>
      <c r="H342" t="str">
        <f>INDEX([1]妻子表!$A:$A,MATCH(F342,[1]妻子表!$B:$B,0))</f>
        <v>M000299W01</v>
      </c>
      <c r="I342" t="str">
        <f>VLOOKUP(H342,[1]妻子表!$A:$D,4,0)</f>
        <v>邓氏</v>
      </c>
      <c r="J342" t="s">
        <v>359</v>
      </c>
      <c r="AA342" t="s">
        <v>489</v>
      </c>
    </row>
    <row r="343" spans="1:27" x14ac:dyDescent="0.25">
      <c r="A343" t="s">
        <v>2345</v>
      </c>
      <c r="B343" t="s">
        <v>2346</v>
      </c>
      <c r="C343" t="s">
        <v>29</v>
      </c>
      <c r="D343" t="s">
        <v>2338</v>
      </c>
      <c r="E343" t="s">
        <v>358</v>
      </c>
      <c r="F343" t="s">
        <v>2324</v>
      </c>
      <c r="G343" t="s">
        <v>2325</v>
      </c>
      <c r="H343" t="str">
        <f>INDEX([1]妻子表!$A:$A,MATCH(F343,[1]妻子表!$B:$B,0))</f>
        <v>M000329W01</v>
      </c>
      <c r="I343" t="str">
        <f>VLOOKUP(H343,[1]妻子表!$A:$D,4,0)</f>
        <v>刘氏</v>
      </c>
      <c r="J343" t="s">
        <v>359</v>
      </c>
      <c r="AA343" t="s">
        <v>489</v>
      </c>
    </row>
    <row r="344" spans="1:27" x14ac:dyDescent="0.25">
      <c r="A344" t="s">
        <v>2347</v>
      </c>
      <c r="B344" t="s">
        <v>2348</v>
      </c>
      <c r="C344" t="s">
        <v>29</v>
      </c>
      <c r="D344" t="s">
        <v>2338</v>
      </c>
      <c r="E344" t="s">
        <v>358</v>
      </c>
      <c r="F344" t="s">
        <v>2229</v>
      </c>
      <c r="G344" t="s">
        <v>2230</v>
      </c>
      <c r="H344" t="str">
        <f>INDEX([1]妻子表!$A:$A,MATCH(F344,[1]妻子表!$B:$B,0))</f>
        <v>M000311W01</v>
      </c>
      <c r="I344" t="str">
        <f>VLOOKUP(H344,[1]妻子表!$A:$D,4,0)</f>
        <v>李氏</v>
      </c>
      <c r="J344" t="s">
        <v>359</v>
      </c>
      <c r="M344" t="s">
        <v>2349</v>
      </c>
      <c r="N344" t="s">
        <v>2350</v>
      </c>
      <c r="O344" t="s">
        <v>2351</v>
      </c>
      <c r="P344" t="s">
        <v>407</v>
      </c>
      <c r="AA344" t="s">
        <v>2352</v>
      </c>
    </row>
    <row r="345" spans="1:27" x14ac:dyDescent="0.25">
      <c r="A345" t="s">
        <v>2353</v>
      </c>
      <c r="B345" t="s">
        <v>2354</v>
      </c>
      <c r="C345" t="s">
        <v>29</v>
      </c>
      <c r="D345" t="s">
        <v>2338</v>
      </c>
      <c r="E345" t="s">
        <v>358</v>
      </c>
      <c r="F345" t="s">
        <v>2229</v>
      </c>
      <c r="G345" t="s">
        <v>2230</v>
      </c>
      <c r="H345" t="str">
        <f>INDEX([1]妻子表!$A:$A,MATCH(F345,[1]妻子表!$B:$B,0))</f>
        <v>M000311W01</v>
      </c>
      <c r="I345" t="str">
        <f>VLOOKUP(H345,[1]妻子表!$A:$D,4,0)</f>
        <v>李氏</v>
      </c>
      <c r="J345" t="s">
        <v>359</v>
      </c>
      <c r="M345" t="s">
        <v>2355</v>
      </c>
      <c r="N345" t="s">
        <v>2356</v>
      </c>
      <c r="O345" t="s">
        <v>2357</v>
      </c>
      <c r="P345" t="s">
        <v>497</v>
      </c>
      <c r="AA345" t="s">
        <v>2358</v>
      </c>
    </row>
    <row r="346" spans="1:27" x14ac:dyDescent="0.25">
      <c r="A346" t="s">
        <v>2359</v>
      </c>
      <c r="B346" t="s">
        <v>2360</v>
      </c>
      <c r="C346" t="s">
        <v>29</v>
      </c>
      <c r="D346" t="s">
        <v>2338</v>
      </c>
      <c r="E346" t="s">
        <v>358</v>
      </c>
      <c r="F346" t="s">
        <v>2229</v>
      </c>
      <c r="G346" t="s">
        <v>2230</v>
      </c>
      <c r="H346" t="str">
        <f>INDEX([1]妻子表!$A:$A,MATCH(F346,[1]妻子表!$B:$B,0))</f>
        <v>M000311W01</v>
      </c>
      <c r="I346" t="str">
        <f>VLOOKUP(H346,[1]妻子表!$A:$D,4,0)</f>
        <v>李氏</v>
      </c>
      <c r="J346" t="s">
        <v>359</v>
      </c>
      <c r="M346" t="s">
        <v>2361</v>
      </c>
      <c r="N346" t="s">
        <v>2362</v>
      </c>
      <c r="O346" t="s">
        <v>2363</v>
      </c>
      <c r="P346" t="s">
        <v>315</v>
      </c>
      <c r="AA346" t="s">
        <v>2364</v>
      </c>
    </row>
    <row r="347" spans="1:27" x14ac:dyDescent="0.25">
      <c r="A347" t="s">
        <v>2365</v>
      </c>
      <c r="B347" t="s">
        <v>2366</v>
      </c>
      <c r="C347" t="s">
        <v>29</v>
      </c>
      <c r="D347" t="s">
        <v>2338</v>
      </c>
      <c r="E347" t="s">
        <v>358</v>
      </c>
      <c r="J347" t="s">
        <v>359</v>
      </c>
      <c r="K347" t="s">
        <v>1138</v>
      </c>
      <c r="T347" s="2" t="s">
        <v>2367</v>
      </c>
      <c r="U347" t="s">
        <v>2368</v>
      </c>
      <c r="AA347" t="s">
        <v>2369</v>
      </c>
    </row>
    <row r="348" spans="1:27" x14ac:dyDescent="0.25">
      <c r="A348" t="s">
        <v>2370</v>
      </c>
      <c r="B348" t="s">
        <v>2371</v>
      </c>
      <c r="C348" t="s">
        <v>29</v>
      </c>
      <c r="D348" t="s">
        <v>2338</v>
      </c>
      <c r="E348" t="s">
        <v>358</v>
      </c>
      <c r="J348" t="s">
        <v>359</v>
      </c>
      <c r="K348" t="s">
        <v>1138</v>
      </c>
      <c r="T348" s="2" t="s">
        <v>2372</v>
      </c>
      <c r="U348" t="s">
        <v>2373</v>
      </c>
      <c r="AA348" t="s">
        <v>2374</v>
      </c>
    </row>
    <row r="349" spans="1:27" x14ac:dyDescent="0.25">
      <c r="A349" t="s">
        <v>2375</v>
      </c>
      <c r="B349" t="s">
        <v>2376</v>
      </c>
      <c r="C349" t="s">
        <v>29</v>
      </c>
      <c r="D349" t="s">
        <v>2338</v>
      </c>
      <c r="E349" t="s">
        <v>358</v>
      </c>
      <c r="J349" t="s">
        <v>359</v>
      </c>
      <c r="K349" t="s">
        <v>1138</v>
      </c>
      <c r="AA349" t="s">
        <v>2377</v>
      </c>
    </row>
    <row r="350" spans="1:27" x14ac:dyDescent="0.25">
      <c r="A350" t="s">
        <v>2378</v>
      </c>
      <c r="B350" t="s">
        <v>2379</v>
      </c>
      <c r="C350" t="s">
        <v>29</v>
      </c>
      <c r="D350" t="s">
        <v>2338</v>
      </c>
      <c r="E350" t="s">
        <v>358</v>
      </c>
      <c r="J350" t="s">
        <v>359</v>
      </c>
      <c r="K350" t="s">
        <v>1138</v>
      </c>
      <c r="AA350" t="s">
        <v>2380</v>
      </c>
    </row>
    <row r="351" spans="1:27" x14ac:dyDescent="0.25">
      <c r="A351" t="s">
        <v>2381</v>
      </c>
      <c r="B351" t="s">
        <v>2382</v>
      </c>
      <c r="C351" t="s">
        <v>29</v>
      </c>
      <c r="D351" t="s">
        <v>2338</v>
      </c>
      <c r="E351" t="s">
        <v>358</v>
      </c>
      <c r="J351" t="s">
        <v>359</v>
      </c>
      <c r="K351" t="s">
        <v>1138</v>
      </c>
      <c r="AA351" t="s">
        <v>2383</v>
      </c>
    </row>
    <row r="352" spans="1:27" x14ac:dyDescent="0.25">
      <c r="A352" t="s">
        <v>2384</v>
      </c>
      <c r="B352" t="s">
        <v>2385</v>
      </c>
      <c r="C352" t="s">
        <v>29</v>
      </c>
      <c r="D352" t="s">
        <v>2338</v>
      </c>
      <c r="E352" t="s">
        <v>358</v>
      </c>
      <c r="F352" t="s">
        <v>2321</v>
      </c>
      <c r="G352" t="s">
        <v>2322</v>
      </c>
      <c r="J352" t="s">
        <v>359</v>
      </c>
      <c r="K352" t="s">
        <v>765</v>
      </c>
      <c r="T352" s="2" t="s">
        <v>2386</v>
      </c>
      <c r="U352" t="s">
        <v>2387</v>
      </c>
      <c r="AA352" t="s">
        <v>2388</v>
      </c>
    </row>
    <row r="353" spans="1:27" x14ac:dyDescent="0.25">
      <c r="A353" t="s">
        <v>2389</v>
      </c>
      <c r="B353" t="s">
        <v>2390</v>
      </c>
      <c r="C353" t="s">
        <v>29</v>
      </c>
      <c r="D353" t="s">
        <v>2338</v>
      </c>
      <c r="E353" t="s">
        <v>358</v>
      </c>
      <c r="F353" t="s">
        <v>2321</v>
      </c>
      <c r="G353" t="s">
        <v>2322</v>
      </c>
      <c r="J353" t="s">
        <v>359</v>
      </c>
      <c r="K353" t="s">
        <v>765</v>
      </c>
      <c r="AA353" t="s">
        <v>2391</v>
      </c>
    </row>
    <row r="354" spans="1:27" x14ac:dyDescent="0.25">
      <c r="A354" t="s">
        <v>2392</v>
      </c>
      <c r="B354" t="s">
        <v>2393</v>
      </c>
      <c r="C354" t="s">
        <v>29</v>
      </c>
      <c r="D354" t="s">
        <v>1075</v>
      </c>
      <c r="E354" t="s">
        <v>358</v>
      </c>
      <c r="F354" t="s">
        <v>2370</v>
      </c>
      <c r="G354" t="s">
        <v>2371</v>
      </c>
      <c r="H354" t="str">
        <f>INDEX([1]妻子表!$A:$A,MATCH(F354,[1]妻子表!$B:$B,0))</f>
        <v>M000340W01</v>
      </c>
      <c r="I354" t="str">
        <f>VLOOKUP(H354,[1]妻子表!$A:$D,4,0)</f>
        <v>刘氏五娘</v>
      </c>
      <c r="J354" t="s">
        <v>359</v>
      </c>
      <c r="K354" t="s">
        <v>1138</v>
      </c>
      <c r="AA354" t="s">
        <v>2394</v>
      </c>
    </row>
    <row r="355" spans="1:27" x14ac:dyDescent="0.25">
      <c r="A355" t="s">
        <v>2395</v>
      </c>
      <c r="B355" t="s">
        <v>2396</v>
      </c>
      <c r="C355" t="s">
        <v>29</v>
      </c>
      <c r="D355" t="s">
        <v>1075</v>
      </c>
      <c r="E355" t="s">
        <v>358</v>
      </c>
      <c r="F355" t="s">
        <v>2370</v>
      </c>
      <c r="G355" t="s">
        <v>2371</v>
      </c>
      <c r="H355" t="str">
        <f>INDEX([1]妻子表!$A:$A,MATCH(F355,[1]妻子表!$B:$B,0))</f>
        <v>M000340W01</v>
      </c>
      <c r="I355" t="str">
        <f>VLOOKUP(H355,[1]妻子表!$A:$D,4,0)</f>
        <v>刘氏五娘</v>
      </c>
      <c r="J355" t="s">
        <v>359</v>
      </c>
      <c r="K355" t="s">
        <v>1138</v>
      </c>
      <c r="AA355" t="s">
        <v>2397</v>
      </c>
    </row>
    <row r="356" spans="1:27" x14ac:dyDescent="0.25">
      <c r="A356" t="s">
        <v>2398</v>
      </c>
      <c r="B356" t="s">
        <v>2399</v>
      </c>
      <c r="C356" t="s">
        <v>29</v>
      </c>
      <c r="D356" t="s">
        <v>1075</v>
      </c>
      <c r="E356" t="s">
        <v>358</v>
      </c>
      <c r="F356" t="s">
        <v>2370</v>
      </c>
      <c r="G356" t="s">
        <v>2371</v>
      </c>
      <c r="H356" t="str">
        <f>INDEX([1]妻子表!$A:$A,MATCH(F356,[1]妻子表!$B:$B,0))</f>
        <v>M000340W01</v>
      </c>
      <c r="I356" t="str">
        <f>VLOOKUP(H356,[1]妻子表!$A:$D,4,0)</f>
        <v>刘氏五娘</v>
      </c>
      <c r="J356" t="s">
        <v>359</v>
      </c>
      <c r="K356" t="s">
        <v>1138</v>
      </c>
      <c r="AA356" t="s">
        <v>2400</v>
      </c>
    </row>
    <row r="357" spans="1:27" x14ac:dyDescent="0.25">
      <c r="A357" t="s">
        <v>2401</v>
      </c>
      <c r="B357" t="s">
        <v>2402</v>
      </c>
      <c r="C357" t="s">
        <v>29</v>
      </c>
      <c r="D357" t="s">
        <v>1075</v>
      </c>
      <c r="E357" t="s">
        <v>358</v>
      </c>
      <c r="F357" t="s">
        <v>2370</v>
      </c>
      <c r="G357" t="s">
        <v>2371</v>
      </c>
      <c r="H357" t="str">
        <f>INDEX([1]妻子表!$A:$A,MATCH(F357,[1]妻子表!$B:$B,0))</f>
        <v>M000340W01</v>
      </c>
      <c r="I357" t="str">
        <f>VLOOKUP(H357,[1]妻子表!$A:$D,4,0)</f>
        <v>刘氏五娘</v>
      </c>
      <c r="J357" t="s">
        <v>359</v>
      </c>
      <c r="K357" t="s">
        <v>1138</v>
      </c>
      <c r="AA357" t="s">
        <v>2403</v>
      </c>
    </row>
    <row r="358" spans="1:27" x14ac:dyDescent="0.25">
      <c r="A358" t="s">
        <v>2404</v>
      </c>
      <c r="B358" t="s">
        <v>2405</v>
      </c>
      <c r="C358" t="s">
        <v>29</v>
      </c>
      <c r="D358" t="s">
        <v>1075</v>
      </c>
      <c r="E358" t="s">
        <v>358</v>
      </c>
      <c r="F358" t="s">
        <v>2370</v>
      </c>
      <c r="G358" t="s">
        <v>2371</v>
      </c>
      <c r="H358" t="str">
        <f>INDEX([1]妻子表!$A:$A,MATCH(F358,[1]妻子表!$B:$B,0))</f>
        <v>M000340W01</v>
      </c>
      <c r="I358" t="str">
        <f>VLOOKUP(H358,[1]妻子表!$A:$D,4,0)</f>
        <v>刘氏五娘</v>
      </c>
      <c r="J358" t="s">
        <v>359</v>
      </c>
      <c r="K358" t="s">
        <v>1138</v>
      </c>
      <c r="R358" t="s">
        <v>2406</v>
      </c>
      <c r="T358" s="2" t="s">
        <v>2407</v>
      </c>
      <c r="U358" t="s">
        <v>2408</v>
      </c>
      <c r="AA358" t="s">
        <v>2409</v>
      </c>
    </row>
    <row r="359" spans="1:27" x14ac:dyDescent="0.25">
      <c r="A359" t="s">
        <v>2410</v>
      </c>
      <c r="B359" t="s">
        <v>2411</v>
      </c>
      <c r="C359" t="s">
        <v>29</v>
      </c>
      <c r="D359" t="s">
        <v>1075</v>
      </c>
      <c r="E359" t="s">
        <v>358</v>
      </c>
      <c r="F359" t="s">
        <v>2375</v>
      </c>
      <c r="G359" t="s">
        <v>2376</v>
      </c>
      <c r="J359" t="s">
        <v>359</v>
      </c>
      <c r="K359" t="s">
        <v>1138</v>
      </c>
      <c r="AA359" t="s">
        <v>2412</v>
      </c>
    </row>
    <row r="360" spans="1:27" x14ac:dyDescent="0.25">
      <c r="A360" t="s">
        <v>2413</v>
      </c>
      <c r="B360" t="s">
        <v>2414</v>
      </c>
      <c r="C360" t="s">
        <v>29</v>
      </c>
      <c r="D360" t="s">
        <v>1075</v>
      </c>
      <c r="E360" t="s">
        <v>358</v>
      </c>
      <c r="F360" t="s">
        <v>2375</v>
      </c>
      <c r="G360" t="s">
        <v>2376</v>
      </c>
      <c r="J360" t="s">
        <v>359</v>
      </c>
      <c r="K360" t="s">
        <v>1138</v>
      </c>
      <c r="Q360" t="s">
        <v>2415</v>
      </c>
      <c r="R360" t="s">
        <v>2416</v>
      </c>
      <c r="S360" t="s">
        <v>2417</v>
      </c>
      <c r="T360" s="2" t="s">
        <v>2418</v>
      </c>
      <c r="U360" t="s">
        <v>2419</v>
      </c>
      <c r="AA360" t="s">
        <v>2420</v>
      </c>
    </row>
    <row r="361" spans="1:27" x14ac:dyDescent="0.25">
      <c r="A361" t="s">
        <v>2421</v>
      </c>
      <c r="B361" t="s">
        <v>2422</v>
      </c>
      <c r="C361" t="s">
        <v>29</v>
      </c>
      <c r="D361" t="s">
        <v>1075</v>
      </c>
      <c r="E361" t="s">
        <v>358</v>
      </c>
      <c r="F361" t="s">
        <v>2378</v>
      </c>
      <c r="G361" t="s">
        <v>2379</v>
      </c>
      <c r="J361" t="s">
        <v>359</v>
      </c>
      <c r="K361" t="s">
        <v>2423</v>
      </c>
      <c r="AA361" t="s">
        <v>2424</v>
      </c>
    </row>
    <row r="362" spans="1:27" x14ac:dyDescent="0.25">
      <c r="A362" t="s">
        <v>2425</v>
      </c>
      <c r="B362" t="s">
        <v>2426</v>
      </c>
      <c r="C362" t="s">
        <v>29</v>
      </c>
      <c r="D362" t="s">
        <v>1075</v>
      </c>
      <c r="E362" t="s">
        <v>358</v>
      </c>
      <c r="F362" t="s">
        <v>2378</v>
      </c>
      <c r="G362" t="s">
        <v>2379</v>
      </c>
      <c r="J362" t="s">
        <v>359</v>
      </c>
      <c r="K362" t="s">
        <v>1138</v>
      </c>
      <c r="AA362" t="s">
        <v>2427</v>
      </c>
    </row>
    <row r="363" spans="1:27" x14ac:dyDescent="0.25">
      <c r="A363" t="s">
        <v>2428</v>
      </c>
      <c r="B363" t="s">
        <v>2429</v>
      </c>
      <c r="C363" t="s">
        <v>29</v>
      </c>
      <c r="D363" t="s">
        <v>1075</v>
      </c>
      <c r="E363" t="s">
        <v>358</v>
      </c>
      <c r="J363" t="s">
        <v>359</v>
      </c>
      <c r="K363" t="s">
        <v>1138</v>
      </c>
      <c r="AA363" t="s">
        <v>2430</v>
      </c>
    </row>
    <row r="364" spans="1:27" x14ac:dyDescent="0.25">
      <c r="A364" t="s">
        <v>2431</v>
      </c>
      <c r="B364" t="s">
        <v>2432</v>
      </c>
      <c r="C364" t="s">
        <v>29</v>
      </c>
      <c r="D364" t="s">
        <v>1075</v>
      </c>
      <c r="E364" t="s">
        <v>358</v>
      </c>
      <c r="F364" t="s">
        <v>2381</v>
      </c>
      <c r="G364" t="s">
        <v>2382</v>
      </c>
      <c r="J364" t="s">
        <v>359</v>
      </c>
      <c r="K364" t="s">
        <v>1138</v>
      </c>
      <c r="T364" s="2" t="s">
        <v>2433</v>
      </c>
      <c r="U364" t="s">
        <v>2434</v>
      </c>
      <c r="AA364" t="s">
        <v>2435</v>
      </c>
    </row>
    <row r="365" spans="1:27" x14ac:dyDescent="0.25">
      <c r="A365" t="s">
        <v>2436</v>
      </c>
      <c r="B365" t="s">
        <v>2437</v>
      </c>
      <c r="C365" t="s">
        <v>29</v>
      </c>
      <c r="D365" t="s">
        <v>1075</v>
      </c>
      <c r="E365" t="s">
        <v>358</v>
      </c>
      <c r="F365" t="s">
        <v>2384</v>
      </c>
      <c r="G365" t="s">
        <v>2385</v>
      </c>
      <c r="H365" t="str">
        <f>INDEX([1]妻子表!$A:$A,MATCH(F365,[1]妻子表!$B:$B,0))</f>
        <v>M000344W01</v>
      </c>
      <c r="I365" t="str">
        <f>VLOOKUP(H365,[1]妻子表!$A:$D,4,0)</f>
        <v>刘氏占娘</v>
      </c>
      <c r="J365" t="s">
        <v>359</v>
      </c>
      <c r="K365" t="s">
        <v>765</v>
      </c>
      <c r="AA365" t="s">
        <v>2438</v>
      </c>
    </row>
    <row r="366" spans="1:27" x14ac:dyDescent="0.25">
      <c r="A366" t="s">
        <v>2439</v>
      </c>
      <c r="B366" t="s">
        <v>2440</v>
      </c>
      <c r="C366" t="s">
        <v>29</v>
      </c>
      <c r="D366" t="s">
        <v>1075</v>
      </c>
      <c r="E366" t="s">
        <v>358</v>
      </c>
      <c r="F366" t="s">
        <v>2384</v>
      </c>
      <c r="G366" t="s">
        <v>2385</v>
      </c>
      <c r="H366" t="str">
        <f>INDEX([1]妻子表!$A:$A,MATCH(F366,[1]妻子表!$B:$B,0))</f>
        <v>M000344W01</v>
      </c>
      <c r="I366" t="str">
        <f>VLOOKUP(H366,[1]妻子表!$A:$D,4,0)</f>
        <v>刘氏占娘</v>
      </c>
      <c r="J366" t="s">
        <v>359</v>
      </c>
      <c r="K366" t="s">
        <v>765</v>
      </c>
      <c r="AA366" t="s">
        <v>2441</v>
      </c>
    </row>
    <row r="367" spans="1:27" x14ac:dyDescent="0.25">
      <c r="A367" t="s">
        <v>2442</v>
      </c>
      <c r="B367" t="s">
        <v>2443</v>
      </c>
      <c r="C367" t="s">
        <v>29</v>
      </c>
      <c r="D367" t="s">
        <v>1075</v>
      </c>
      <c r="E367" t="s">
        <v>358</v>
      </c>
      <c r="F367" t="s">
        <v>2384</v>
      </c>
      <c r="G367" t="s">
        <v>2385</v>
      </c>
      <c r="H367" t="str">
        <f>INDEX([1]妻子表!$A:$A,MATCH(F367,[1]妻子表!$B:$B,0))</f>
        <v>M000344W01</v>
      </c>
      <c r="I367" t="str">
        <f>VLOOKUP(H367,[1]妻子表!$A:$D,4,0)</f>
        <v>刘氏占娘</v>
      </c>
      <c r="J367" t="s">
        <v>359</v>
      </c>
      <c r="AA367" t="s">
        <v>2444</v>
      </c>
    </row>
    <row r="368" spans="1:27" x14ac:dyDescent="0.25">
      <c r="A368" t="s">
        <v>2445</v>
      </c>
      <c r="B368" t="s">
        <v>2446</v>
      </c>
      <c r="C368" t="s">
        <v>29</v>
      </c>
      <c r="D368" t="s">
        <v>1075</v>
      </c>
      <c r="E368" t="s">
        <v>358</v>
      </c>
      <c r="F368" t="s">
        <v>2389</v>
      </c>
      <c r="G368" t="s">
        <v>2390</v>
      </c>
      <c r="J368" t="s">
        <v>359</v>
      </c>
      <c r="K368" t="s">
        <v>2447</v>
      </c>
      <c r="T368" s="2" t="s">
        <v>2448</v>
      </c>
      <c r="U368" t="s">
        <v>2449</v>
      </c>
      <c r="AA368" t="s">
        <v>2450</v>
      </c>
    </row>
    <row r="369" spans="1:27" x14ac:dyDescent="0.25">
      <c r="A369" t="s">
        <v>2451</v>
      </c>
      <c r="B369" t="s">
        <v>2452</v>
      </c>
      <c r="C369" t="s">
        <v>29</v>
      </c>
      <c r="D369" t="s">
        <v>1075</v>
      </c>
      <c r="E369" t="s">
        <v>358</v>
      </c>
      <c r="F369" t="s">
        <v>2384</v>
      </c>
      <c r="G369" t="s">
        <v>2385</v>
      </c>
      <c r="H369" t="str">
        <f>INDEX([1]妻子表!$A:$A,MATCH(F369,[1]妻子表!$B:$B,0))</f>
        <v>M000344W01</v>
      </c>
      <c r="I369" t="str">
        <f>VLOOKUP(H369,[1]妻子表!$A:$D,4,0)</f>
        <v>刘氏占娘</v>
      </c>
      <c r="J369" t="s">
        <v>359</v>
      </c>
      <c r="K369" t="s">
        <v>2447</v>
      </c>
      <c r="T369" s="2" t="s">
        <v>2453</v>
      </c>
      <c r="U369" t="s">
        <v>2454</v>
      </c>
      <c r="AA369" t="s">
        <v>2455</v>
      </c>
    </row>
    <row r="370" spans="1:27" x14ac:dyDescent="0.25">
      <c r="A370" t="s">
        <v>2456</v>
      </c>
      <c r="B370" t="s">
        <v>2457</v>
      </c>
      <c r="C370" t="s">
        <v>29</v>
      </c>
      <c r="D370" t="s">
        <v>1075</v>
      </c>
      <c r="E370" t="s">
        <v>358</v>
      </c>
      <c r="J370" t="s">
        <v>359</v>
      </c>
      <c r="K370" t="s">
        <v>1138</v>
      </c>
      <c r="L370" t="s">
        <v>627</v>
      </c>
      <c r="M370" t="s">
        <v>2458</v>
      </c>
      <c r="N370" t="s">
        <v>2459</v>
      </c>
      <c r="O370" t="s">
        <v>2460</v>
      </c>
      <c r="P370" t="s">
        <v>240</v>
      </c>
      <c r="Q370" t="s">
        <v>2461</v>
      </c>
      <c r="R370" t="s">
        <v>2462</v>
      </c>
      <c r="S370" t="s">
        <v>2463</v>
      </c>
      <c r="T370" s="2" t="s">
        <v>2464</v>
      </c>
      <c r="U370" t="s">
        <v>2465</v>
      </c>
      <c r="AA370" t="s">
        <v>2466</v>
      </c>
    </row>
    <row r="371" spans="1:27" x14ac:dyDescent="0.25">
      <c r="A371" t="s">
        <v>2467</v>
      </c>
      <c r="B371" t="s">
        <v>2468</v>
      </c>
      <c r="C371" t="s">
        <v>29</v>
      </c>
      <c r="D371" t="s">
        <v>1075</v>
      </c>
      <c r="E371" t="s">
        <v>358</v>
      </c>
      <c r="J371" t="s">
        <v>359</v>
      </c>
      <c r="K371" t="s">
        <v>1138</v>
      </c>
      <c r="Q371" t="s">
        <v>2469</v>
      </c>
      <c r="R371" t="s">
        <v>2470</v>
      </c>
      <c r="S371" t="s">
        <v>2471</v>
      </c>
      <c r="T371" s="2" t="s">
        <v>2472</v>
      </c>
      <c r="U371" t="s">
        <v>2473</v>
      </c>
      <c r="AA371" t="s">
        <v>2474</v>
      </c>
    </row>
    <row r="372" spans="1:27" x14ac:dyDescent="0.25">
      <c r="A372" t="s">
        <v>2475</v>
      </c>
      <c r="B372" t="s">
        <v>2476</v>
      </c>
      <c r="C372" t="s">
        <v>29</v>
      </c>
      <c r="D372" t="s">
        <v>1075</v>
      </c>
      <c r="E372" t="s">
        <v>358</v>
      </c>
      <c r="J372" t="s">
        <v>359</v>
      </c>
      <c r="K372" t="s">
        <v>1138</v>
      </c>
      <c r="T372" s="2" t="s">
        <v>2477</v>
      </c>
      <c r="U372" t="s">
        <v>2478</v>
      </c>
      <c r="AA372" t="s">
        <v>2479</v>
      </c>
    </row>
    <row r="373" spans="1:27" x14ac:dyDescent="0.25">
      <c r="A373" t="s">
        <v>2480</v>
      </c>
      <c r="B373" t="s">
        <v>2481</v>
      </c>
      <c r="C373" t="s">
        <v>29</v>
      </c>
      <c r="D373" t="s">
        <v>2482</v>
      </c>
      <c r="E373" t="s">
        <v>358</v>
      </c>
      <c r="F373" t="s">
        <v>2401</v>
      </c>
      <c r="G373" t="s">
        <v>2402</v>
      </c>
      <c r="J373" t="s">
        <v>359</v>
      </c>
      <c r="K373" t="s">
        <v>1138</v>
      </c>
      <c r="AA373" t="s">
        <v>2483</v>
      </c>
    </row>
    <row r="374" spans="1:27" x14ac:dyDescent="0.25">
      <c r="A374" t="s">
        <v>2484</v>
      </c>
      <c r="B374" t="s">
        <v>2485</v>
      </c>
      <c r="C374" t="s">
        <v>29</v>
      </c>
      <c r="D374" t="s">
        <v>2482</v>
      </c>
      <c r="E374" t="s">
        <v>358</v>
      </c>
      <c r="F374" t="s">
        <v>2395</v>
      </c>
      <c r="G374" t="s">
        <v>2396</v>
      </c>
      <c r="J374" t="s">
        <v>359</v>
      </c>
      <c r="K374" t="s">
        <v>1138</v>
      </c>
      <c r="AA374" t="s">
        <v>2486</v>
      </c>
    </row>
    <row r="375" spans="1:27" x14ac:dyDescent="0.25">
      <c r="A375" t="s">
        <v>2487</v>
      </c>
      <c r="B375" t="s">
        <v>2488</v>
      </c>
      <c r="C375" t="s">
        <v>29</v>
      </c>
      <c r="D375" t="s">
        <v>2482</v>
      </c>
      <c r="E375" t="s">
        <v>358</v>
      </c>
      <c r="F375" t="s">
        <v>2398</v>
      </c>
      <c r="G375" t="s">
        <v>2399</v>
      </c>
      <c r="J375" t="s">
        <v>359</v>
      </c>
      <c r="K375" t="s">
        <v>1138</v>
      </c>
      <c r="T375" s="2" t="s">
        <v>2489</v>
      </c>
      <c r="U375" t="s">
        <v>2490</v>
      </c>
      <c r="AA375" t="s">
        <v>2491</v>
      </c>
    </row>
    <row r="376" spans="1:27" x14ac:dyDescent="0.25">
      <c r="A376" t="s">
        <v>2492</v>
      </c>
      <c r="B376" t="s">
        <v>2493</v>
      </c>
      <c r="C376" t="s">
        <v>29</v>
      </c>
      <c r="D376" t="s">
        <v>2482</v>
      </c>
      <c r="E376" t="s">
        <v>358</v>
      </c>
      <c r="F376" t="s">
        <v>2404</v>
      </c>
      <c r="G376" t="s">
        <v>2405</v>
      </c>
      <c r="H376" t="str">
        <f>INDEX([1]妻子表!$A:$A,MATCH(F376,[1]妻子表!$B:$B,0))</f>
        <v>M000350W01</v>
      </c>
      <c r="I376" t="str">
        <f>VLOOKUP(H376,[1]妻子表!$A:$D,4,0)</f>
        <v>吴氏长娘</v>
      </c>
      <c r="J376" t="s">
        <v>359</v>
      </c>
      <c r="K376" t="s">
        <v>1138</v>
      </c>
      <c r="L376" t="s">
        <v>1215</v>
      </c>
      <c r="M376" t="s">
        <v>2494</v>
      </c>
      <c r="N376" t="s">
        <v>2495</v>
      </c>
      <c r="O376" t="s">
        <v>2496</v>
      </c>
      <c r="P376" t="s">
        <v>184</v>
      </c>
      <c r="Q376" t="s">
        <v>2497</v>
      </c>
      <c r="R376" t="s">
        <v>2498</v>
      </c>
      <c r="S376" t="s">
        <v>2499</v>
      </c>
      <c r="T376" s="2" t="s">
        <v>2500</v>
      </c>
      <c r="U376" t="s">
        <v>2501</v>
      </c>
      <c r="AA376" t="s">
        <v>2502</v>
      </c>
    </row>
    <row r="377" spans="1:27" x14ac:dyDescent="0.25">
      <c r="A377" t="s">
        <v>2503</v>
      </c>
      <c r="B377" t="s">
        <v>2504</v>
      </c>
      <c r="C377" t="s">
        <v>29</v>
      </c>
      <c r="D377" t="s">
        <v>2482</v>
      </c>
      <c r="E377" t="s">
        <v>358</v>
      </c>
      <c r="F377" t="s">
        <v>2404</v>
      </c>
      <c r="G377" t="s">
        <v>2405</v>
      </c>
      <c r="H377" t="str">
        <f>INDEX([1]妻子表!$A:$A,MATCH(F377,[1]妻子表!$B:$B,0))</f>
        <v>M000350W01</v>
      </c>
      <c r="I377" t="str">
        <f>VLOOKUP(H377,[1]妻子表!$A:$D,4,0)</f>
        <v>吴氏长娘</v>
      </c>
      <c r="J377" t="s">
        <v>359</v>
      </c>
      <c r="K377" t="s">
        <v>1138</v>
      </c>
      <c r="L377" t="s">
        <v>1075</v>
      </c>
      <c r="M377" t="s">
        <v>2505</v>
      </c>
      <c r="N377" t="s">
        <v>2506</v>
      </c>
      <c r="O377" t="s">
        <v>2507</v>
      </c>
      <c r="P377" t="s">
        <v>407</v>
      </c>
      <c r="Q377" t="s">
        <v>2508</v>
      </c>
      <c r="R377" t="s">
        <v>2509</v>
      </c>
      <c r="S377" t="s">
        <v>1764</v>
      </c>
      <c r="T377" s="2" t="s">
        <v>2510</v>
      </c>
      <c r="U377" t="s">
        <v>2511</v>
      </c>
      <c r="AA377" t="s">
        <v>2512</v>
      </c>
    </row>
    <row r="378" spans="1:27" x14ac:dyDescent="0.25">
      <c r="A378" t="s">
        <v>2513</v>
      </c>
      <c r="B378" t="s">
        <v>2514</v>
      </c>
      <c r="C378" t="s">
        <v>29</v>
      </c>
      <c r="D378" t="s">
        <v>2482</v>
      </c>
      <c r="E378" t="s">
        <v>358</v>
      </c>
      <c r="F378" t="s">
        <v>2404</v>
      </c>
      <c r="G378" t="s">
        <v>2405</v>
      </c>
      <c r="H378" t="str">
        <f>INDEX([1]妻子表!$A:$A,MATCH(F378,[1]妻子表!$B:$B,0))</f>
        <v>M000350W01</v>
      </c>
      <c r="I378" t="str">
        <f>VLOOKUP(H378,[1]妻子表!$A:$D,4,0)</f>
        <v>吴氏长娘</v>
      </c>
      <c r="J378" t="s">
        <v>359</v>
      </c>
      <c r="AA378" t="s">
        <v>2515</v>
      </c>
    </row>
    <row r="379" spans="1:27" x14ac:dyDescent="0.25">
      <c r="A379" t="s">
        <v>2516</v>
      </c>
      <c r="B379" t="s">
        <v>2517</v>
      </c>
      <c r="C379" t="s">
        <v>29</v>
      </c>
      <c r="D379" t="s">
        <v>2482</v>
      </c>
      <c r="E379" t="s">
        <v>358</v>
      </c>
      <c r="F379" t="s">
        <v>2413</v>
      </c>
      <c r="G379" t="s">
        <v>2414</v>
      </c>
      <c r="H379" t="str">
        <f>INDEX([1]妻子表!$A:$A,MATCH(F379,[1]妻子表!$B:$B,0))</f>
        <v>M000352W01</v>
      </c>
      <c r="I379" t="str">
        <f>VLOOKUP(H379,[1]妻子表!$A:$D,4,0)</f>
        <v>左氏细娘</v>
      </c>
      <c r="J379" t="s">
        <v>359</v>
      </c>
      <c r="K379" t="s">
        <v>1138</v>
      </c>
      <c r="L379" t="s">
        <v>870</v>
      </c>
      <c r="M379" t="s">
        <v>2518</v>
      </c>
      <c r="N379" t="s">
        <v>2519</v>
      </c>
      <c r="O379" t="s">
        <v>2520</v>
      </c>
      <c r="P379" t="s">
        <v>108</v>
      </c>
      <c r="Q379" t="s">
        <v>2521</v>
      </c>
      <c r="R379" t="s">
        <v>2522</v>
      </c>
      <c r="S379" t="s">
        <v>2351</v>
      </c>
      <c r="T379" s="2" t="s">
        <v>2523</v>
      </c>
      <c r="U379" t="s">
        <v>2524</v>
      </c>
      <c r="AA379" t="s">
        <v>2525</v>
      </c>
    </row>
    <row r="380" spans="1:27" x14ac:dyDescent="0.25">
      <c r="A380" t="s">
        <v>2526</v>
      </c>
      <c r="B380" t="s">
        <v>2527</v>
      </c>
      <c r="C380" t="s">
        <v>29</v>
      </c>
      <c r="D380" t="s">
        <v>2482</v>
      </c>
      <c r="E380" t="s">
        <v>358</v>
      </c>
      <c r="F380" t="s">
        <v>2413</v>
      </c>
      <c r="G380" t="s">
        <v>2414</v>
      </c>
      <c r="H380" t="str">
        <f>INDEX([1]妻子表!$A:$A,MATCH(F380,[1]妻子表!$B:$B,0))</f>
        <v>M000352W01</v>
      </c>
      <c r="I380" t="str">
        <f>VLOOKUP(H380,[1]妻子表!$A:$D,4,0)</f>
        <v>左氏细娘</v>
      </c>
      <c r="J380" t="s">
        <v>359</v>
      </c>
      <c r="K380" t="s">
        <v>1138</v>
      </c>
      <c r="AA380" t="s">
        <v>2528</v>
      </c>
    </row>
    <row r="381" spans="1:27" x14ac:dyDescent="0.25">
      <c r="A381" t="s">
        <v>2529</v>
      </c>
      <c r="B381" t="s">
        <v>2530</v>
      </c>
      <c r="C381" t="s">
        <v>29</v>
      </c>
      <c r="D381" t="s">
        <v>2482</v>
      </c>
      <c r="E381" t="s">
        <v>358</v>
      </c>
      <c r="F381" t="s">
        <v>2436</v>
      </c>
      <c r="G381" t="s">
        <v>2437</v>
      </c>
      <c r="J381" t="s">
        <v>359</v>
      </c>
      <c r="K381" t="s">
        <v>2531</v>
      </c>
      <c r="T381" s="2" t="s">
        <v>2532</v>
      </c>
      <c r="U381" t="s">
        <v>2533</v>
      </c>
      <c r="AA381" t="s">
        <v>2534</v>
      </c>
    </row>
    <row r="382" spans="1:27" x14ac:dyDescent="0.25">
      <c r="A382" t="s">
        <v>2535</v>
      </c>
      <c r="B382" t="s">
        <v>2536</v>
      </c>
      <c r="C382" t="s">
        <v>29</v>
      </c>
      <c r="D382" t="s">
        <v>2482</v>
      </c>
      <c r="E382" t="s">
        <v>358</v>
      </c>
      <c r="F382" t="s">
        <v>2439</v>
      </c>
      <c r="G382" t="s">
        <v>2440</v>
      </c>
      <c r="J382" t="s">
        <v>359</v>
      </c>
      <c r="K382" t="s">
        <v>2531</v>
      </c>
      <c r="AA382" t="s">
        <v>2537</v>
      </c>
    </row>
    <row r="383" spans="1:27" x14ac:dyDescent="0.25">
      <c r="A383" t="s">
        <v>2538</v>
      </c>
      <c r="B383" t="s">
        <v>2539</v>
      </c>
      <c r="C383" t="s">
        <v>29</v>
      </c>
      <c r="D383" t="s">
        <v>2482</v>
      </c>
      <c r="E383" t="s">
        <v>358</v>
      </c>
      <c r="F383" t="s">
        <v>2439</v>
      </c>
      <c r="G383" t="s">
        <v>2440</v>
      </c>
      <c r="J383" t="s">
        <v>359</v>
      </c>
      <c r="K383" t="s">
        <v>2531</v>
      </c>
      <c r="AA383" t="s">
        <v>2540</v>
      </c>
    </row>
    <row r="384" spans="1:27" x14ac:dyDescent="0.25">
      <c r="A384" t="s">
        <v>2541</v>
      </c>
      <c r="B384" t="s">
        <v>2542</v>
      </c>
      <c r="C384" t="s">
        <v>29</v>
      </c>
      <c r="D384" t="s">
        <v>2482</v>
      </c>
      <c r="E384" t="s">
        <v>358</v>
      </c>
      <c r="F384" t="s">
        <v>2431</v>
      </c>
      <c r="G384" t="s">
        <v>2432</v>
      </c>
      <c r="H384" t="str">
        <f>INDEX([1]妻子表!$A:$A,MATCH(F384,[1]妻子表!$B:$B,0))</f>
        <v>M000356W01</v>
      </c>
      <c r="I384" t="str">
        <f>VLOOKUP(H384,[1]妻子表!$A:$D,4,0)</f>
        <v>肖氏秋娘</v>
      </c>
      <c r="J384" t="s">
        <v>359</v>
      </c>
      <c r="AA384" t="s">
        <v>2543</v>
      </c>
    </row>
    <row r="385" spans="1:27" x14ac:dyDescent="0.25">
      <c r="A385" t="s">
        <v>2544</v>
      </c>
      <c r="B385" t="s">
        <v>2545</v>
      </c>
      <c r="C385" t="s">
        <v>29</v>
      </c>
      <c r="D385" t="s">
        <v>2482</v>
      </c>
      <c r="E385" t="s">
        <v>358</v>
      </c>
      <c r="F385" t="s">
        <v>2425</v>
      </c>
      <c r="G385" t="s">
        <v>2426</v>
      </c>
      <c r="J385" t="s">
        <v>359</v>
      </c>
      <c r="AA385" t="s">
        <v>2543</v>
      </c>
    </row>
    <row r="386" spans="1:27" x14ac:dyDescent="0.25">
      <c r="A386" t="s">
        <v>2546</v>
      </c>
      <c r="B386" t="s">
        <v>2547</v>
      </c>
      <c r="C386" t="s">
        <v>29</v>
      </c>
      <c r="D386" t="s">
        <v>2482</v>
      </c>
      <c r="E386" t="s">
        <v>358</v>
      </c>
      <c r="F386" t="s">
        <v>2425</v>
      </c>
      <c r="G386" t="s">
        <v>2426</v>
      </c>
      <c r="J386" t="s">
        <v>359</v>
      </c>
      <c r="K386" t="s">
        <v>1138</v>
      </c>
      <c r="T386" s="2" t="s">
        <v>2548</v>
      </c>
      <c r="U386" t="s">
        <v>2549</v>
      </c>
      <c r="AA386" t="s">
        <v>2550</v>
      </c>
    </row>
    <row r="387" spans="1:27" x14ac:dyDescent="0.25">
      <c r="A387" t="s">
        <v>2551</v>
      </c>
      <c r="B387" t="s">
        <v>2552</v>
      </c>
      <c r="C387" t="s">
        <v>29</v>
      </c>
      <c r="D387" t="s">
        <v>2482</v>
      </c>
      <c r="E387" t="s">
        <v>358</v>
      </c>
      <c r="F387" t="s">
        <v>2421</v>
      </c>
      <c r="G387" t="s">
        <v>2422</v>
      </c>
      <c r="J387" t="s">
        <v>359</v>
      </c>
      <c r="K387" t="s">
        <v>1138</v>
      </c>
      <c r="AA387" t="s">
        <v>2553</v>
      </c>
    </row>
    <row r="388" spans="1:27" x14ac:dyDescent="0.25">
      <c r="A388" t="s">
        <v>2554</v>
      </c>
      <c r="B388" t="s">
        <v>2555</v>
      </c>
      <c r="C388" t="s">
        <v>29</v>
      </c>
      <c r="D388" t="s">
        <v>2482</v>
      </c>
      <c r="E388" t="s">
        <v>358</v>
      </c>
      <c r="F388" t="s">
        <v>2421</v>
      </c>
      <c r="G388" t="s">
        <v>2422</v>
      </c>
      <c r="J388" t="s">
        <v>359</v>
      </c>
      <c r="K388" t="s">
        <v>1138</v>
      </c>
      <c r="M388" t="s">
        <v>2518</v>
      </c>
      <c r="N388" t="s">
        <v>2519</v>
      </c>
      <c r="O388" t="s">
        <v>2520</v>
      </c>
      <c r="P388" t="s">
        <v>108</v>
      </c>
      <c r="AA388" t="s">
        <v>2556</v>
      </c>
    </row>
    <row r="389" spans="1:27" x14ac:dyDescent="0.25">
      <c r="A389" t="s">
        <v>2557</v>
      </c>
      <c r="B389" t="s">
        <v>2558</v>
      </c>
      <c r="C389" t="s">
        <v>29</v>
      </c>
      <c r="D389" t="s">
        <v>2482</v>
      </c>
      <c r="E389" t="s">
        <v>358</v>
      </c>
      <c r="F389" t="s">
        <v>2421</v>
      </c>
      <c r="G389" t="s">
        <v>2422</v>
      </c>
      <c r="J389" t="s">
        <v>359</v>
      </c>
      <c r="K389" t="s">
        <v>1138</v>
      </c>
      <c r="L389" t="s">
        <v>2559</v>
      </c>
      <c r="M389" t="s">
        <v>2560</v>
      </c>
      <c r="N389" t="s">
        <v>2561</v>
      </c>
      <c r="O389" t="s">
        <v>2562</v>
      </c>
      <c r="P389" t="s">
        <v>601</v>
      </c>
      <c r="Q389" t="s">
        <v>2563</v>
      </c>
      <c r="R389" t="s">
        <v>2564</v>
      </c>
      <c r="S389" t="s">
        <v>2565</v>
      </c>
      <c r="T389" s="2" t="s">
        <v>2566</v>
      </c>
      <c r="U389" t="s">
        <v>2567</v>
      </c>
      <c r="AA389" t="s">
        <v>2568</v>
      </c>
    </row>
    <row r="390" spans="1:27" x14ac:dyDescent="0.25">
      <c r="A390" t="s">
        <v>2569</v>
      </c>
      <c r="B390" t="s">
        <v>2570</v>
      </c>
      <c r="C390" t="s">
        <v>29</v>
      </c>
      <c r="D390" t="s">
        <v>2482</v>
      </c>
      <c r="E390" t="s">
        <v>358</v>
      </c>
      <c r="F390" t="s">
        <v>2431</v>
      </c>
      <c r="G390" t="s">
        <v>2432</v>
      </c>
      <c r="H390" t="str">
        <f>INDEX([1]妻子表!$A:$A,MATCH(F390,[1]妻子表!$B:$B,0))</f>
        <v>M000356W01</v>
      </c>
      <c r="I390" t="str">
        <f>VLOOKUP(H390,[1]妻子表!$A:$D,4,0)</f>
        <v>肖氏秋娘</v>
      </c>
      <c r="J390" t="s">
        <v>359</v>
      </c>
      <c r="K390" t="s">
        <v>1138</v>
      </c>
      <c r="Q390" t="s">
        <v>2571</v>
      </c>
      <c r="R390" t="s">
        <v>2572</v>
      </c>
      <c r="S390" t="s">
        <v>2573</v>
      </c>
      <c r="T390" s="2" t="s">
        <v>2574</v>
      </c>
      <c r="U390" t="s">
        <v>2575</v>
      </c>
      <c r="AA390" t="s">
        <v>2576</v>
      </c>
    </row>
    <row r="391" spans="1:27" x14ac:dyDescent="0.25">
      <c r="A391" t="s">
        <v>2577</v>
      </c>
      <c r="B391" t="s">
        <v>2578</v>
      </c>
      <c r="C391" t="s">
        <v>29</v>
      </c>
      <c r="D391" t="s">
        <v>2482</v>
      </c>
      <c r="E391" t="s">
        <v>358</v>
      </c>
      <c r="F391" t="s">
        <v>2442</v>
      </c>
      <c r="G391" t="s">
        <v>2443</v>
      </c>
      <c r="J391" t="s">
        <v>359</v>
      </c>
      <c r="T391" s="2" t="s">
        <v>2579</v>
      </c>
      <c r="U391" t="s">
        <v>2580</v>
      </c>
      <c r="AA391" t="s">
        <v>2581</v>
      </c>
    </row>
    <row r="392" spans="1:27" x14ac:dyDescent="0.25">
      <c r="A392" t="s">
        <v>2582</v>
      </c>
      <c r="B392" t="s">
        <v>2583</v>
      </c>
      <c r="C392" t="s">
        <v>29</v>
      </c>
      <c r="D392" t="s">
        <v>2482</v>
      </c>
      <c r="E392" t="s">
        <v>358</v>
      </c>
      <c r="F392" t="s">
        <v>2445</v>
      </c>
      <c r="G392" t="s">
        <v>2446</v>
      </c>
      <c r="H392" t="str">
        <f>INDEX([1]妻子表!$A:$A,MATCH(F392,[1]妻子表!$B:$B,0))</f>
        <v>M000360W01</v>
      </c>
      <c r="I392" t="str">
        <f>VLOOKUP(H392,[1]妻子表!$A:$D,4,0)</f>
        <v>彭清珠</v>
      </c>
      <c r="J392" t="s">
        <v>359</v>
      </c>
      <c r="K392" t="s">
        <v>2584</v>
      </c>
      <c r="L392" t="s">
        <v>870</v>
      </c>
      <c r="M392" t="s">
        <v>2560</v>
      </c>
      <c r="N392" t="s">
        <v>2561</v>
      </c>
      <c r="O392" t="s">
        <v>2562</v>
      </c>
      <c r="P392" t="s">
        <v>601</v>
      </c>
      <c r="Q392" t="s">
        <v>2585</v>
      </c>
      <c r="R392" t="s">
        <v>2586</v>
      </c>
      <c r="S392" t="s">
        <v>2587</v>
      </c>
      <c r="T392" s="2" t="s">
        <v>2588</v>
      </c>
      <c r="U392" t="s">
        <v>2589</v>
      </c>
      <c r="AA392" t="s">
        <v>2590</v>
      </c>
    </row>
    <row r="393" spans="1:27" x14ac:dyDescent="0.25">
      <c r="A393" t="s">
        <v>2591</v>
      </c>
      <c r="B393" t="s">
        <v>2592</v>
      </c>
      <c r="C393" t="s">
        <v>29</v>
      </c>
      <c r="D393" t="s">
        <v>2482</v>
      </c>
      <c r="E393" t="s">
        <v>358</v>
      </c>
      <c r="F393" t="s">
        <v>2451</v>
      </c>
      <c r="G393" t="s">
        <v>2452</v>
      </c>
      <c r="H393" t="str">
        <f>INDEX([1]妻子表!$A:$A,MATCH(F393,[1]妻子表!$B:$B,0))</f>
        <v>M000361W01</v>
      </c>
      <c r="I393" t="str">
        <f>VLOOKUP(H393,[1]妻子表!$A:$D,4,0)</f>
        <v>刘氏</v>
      </c>
      <c r="J393" t="s">
        <v>359</v>
      </c>
      <c r="T393" s="2" t="s">
        <v>2593</v>
      </c>
      <c r="U393" t="s">
        <v>2594</v>
      </c>
      <c r="AA393" t="s">
        <v>2595</v>
      </c>
    </row>
    <row r="394" spans="1:27" x14ac:dyDescent="0.25">
      <c r="A394" t="s">
        <v>2596</v>
      </c>
      <c r="B394" t="s">
        <v>2597</v>
      </c>
      <c r="C394" t="s">
        <v>29</v>
      </c>
      <c r="D394" t="s">
        <v>2482</v>
      </c>
      <c r="E394" t="s">
        <v>358</v>
      </c>
      <c r="F394" t="s">
        <v>2451</v>
      </c>
      <c r="G394" t="s">
        <v>2452</v>
      </c>
      <c r="H394" t="str">
        <f>INDEX([1]妻子表!$A:$A,MATCH(F394,[1]妻子表!$B:$B,0))</f>
        <v>M000361W01</v>
      </c>
      <c r="I394" t="str">
        <f>VLOOKUP(H394,[1]妻子表!$A:$D,4,0)</f>
        <v>刘氏</v>
      </c>
      <c r="J394" t="s">
        <v>359</v>
      </c>
      <c r="AA394" t="s">
        <v>2598</v>
      </c>
    </row>
    <row r="395" spans="1:27" x14ac:dyDescent="0.25">
      <c r="A395" t="s">
        <v>2599</v>
      </c>
      <c r="B395" t="s">
        <v>2600</v>
      </c>
      <c r="C395" t="s">
        <v>29</v>
      </c>
      <c r="D395" t="s">
        <v>2482</v>
      </c>
      <c r="E395" t="s">
        <v>358</v>
      </c>
      <c r="F395" t="s">
        <v>2451</v>
      </c>
      <c r="G395" t="s">
        <v>2452</v>
      </c>
      <c r="H395" t="str">
        <f>INDEX([1]妻子表!$A:$A,MATCH(F395,[1]妻子表!$B:$B,0))</f>
        <v>M000361W01</v>
      </c>
      <c r="I395" t="str">
        <f>VLOOKUP(H395,[1]妻子表!$A:$D,4,0)</f>
        <v>刘氏</v>
      </c>
      <c r="J395" t="s">
        <v>359</v>
      </c>
      <c r="K395" t="s">
        <v>2601</v>
      </c>
      <c r="T395" s="2" t="s">
        <v>2602</v>
      </c>
      <c r="U395" t="s">
        <v>2603</v>
      </c>
      <c r="AA395" t="s">
        <v>2604</v>
      </c>
    </row>
    <row r="396" spans="1:27" x14ac:dyDescent="0.25">
      <c r="A396" t="s">
        <v>2605</v>
      </c>
      <c r="B396" t="s">
        <v>2606</v>
      </c>
      <c r="C396" t="s">
        <v>29</v>
      </c>
      <c r="D396" t="s">
        <v>2482</v>
      </c>
      <c r="E396" t="s">
        <v>358</v>
      </c>
      <c r="F396" t="s">
        <v>2456</v>
      </c>
      <c r="G396" t="s">
        <v>2457</v>
      </c>
      <c r="H396" t="str">
        <f>INDEX([1]妻子表!$A:$A,MATCH(F396,[1]妻子表!$B:$B,0))</f>
        <v>M000362W01</v>
      </c>
      <c r="I396" t="str">
        <f>VLOOKUP(H396,[1]妻子表!$A:$D,4,0)</f>
        <v>罗康连</v>
      </c>
      <c r="J396" t="s">
        <v>359</v>
      </c>
      <c r="K396" t="s">
        <v>1138</v>
      </c>
      <c r="L396" t="s">
        <v>1596</v>
      </c>
      <c r="M396" t="s">
        <v>2607</v>
      </c>
      <c r="N396" t="s">
        <v>2608</v>
      </c>
      <c r="O396" t="s">
        <v>2609</v>
      </c>
      <c r="P396" t="s">
        <v>257</v>
      </c>
      <c r="Q396" t="s">
        <v>2610</v>
      </c>
      <c r="R396" t="s">
        <v>2611</v>
      </c>
      <c r="S396" t="s">
        <v>2612</v>
      </c>
      <c r="T396" s="2" t="s">
        <v>2613</v>
      </c>
      <c r="U396" t="s">
        <v>2614</v>
      </c>
      <c r="AA396" t="s">
        <v>2615</v>
      </c>
    </row>
    <row r="397" spans="1:27" x14ac:dyDescent="0.25">
      <c r="A397" t="s">
        <v>2616</v>
      </c>
      <c r="B397" t="s">
        <v>2617</v>
      </c>
      <c r="C397" t="s">
        <v>29</v>
      </c>
      <c r="D397" t="s">
        <v>2482</v>
      </c>
      <c r="E397" t="s">
        <v>358</v>
      </c>
      <c r="F397" t="s">
        <v>2475</v>
      </c>
      <c r="G397" t="s">
        <v>2476</v>
      </c>
      <c r="H397" t="str">
        <f>INDEX([1]妻子表!$A:$A,MATCH(F397,[1]妻子表!$B:$B,0))</f>
        <v>M000364W01</v>
      </c>
      <c r="I397" t="str">
        <f>VLOOKUP(H397,[1]妻子表!$A:$D,4,0)</f>
        <v>刘龙英</v>
      </c>
      <c r="J397" t="s">
        <v>359</v>
      </c>
      <c r="T397" s="2" t="s">
        <v>2618</v>
      </c>
      <c r="U397" t="s">
        <v>2619</v>
      </c>
      <c r="AA397" t="s">
        <v>2620</v>
      </c>
    </row>
    <row r="398" spans="1:27" x14ac:dyDescent="0.25">
      <c r="A398" t="s">
        <v>2621</v>
      </c>
      <c r="B398" t="s">
        <v>2622</v>
      </c>
      <c r="D398" t="s">
        <v>303</v>
      </c>
      <c r="E398" t="s">
        <v>2623</v>
      </c>
      <c r="F398" t="s">
        <v>267</v>
      </c>
      <c r="G398" t="s">
        <v>268</v>
      </c>
      <c r="H398" t="str">
        <f>INDEX([1]妻子表!$A:$A,MATCH(F398,[1]妻子表!$B:$B,0))</f>
        <v>M000034W01</v>
      </c>
      <c r="I398" t="str">
        <f>VLOOKUP(H398,[1]妻子表!$A:$D,4,0)</f>
        <v>曾氏</v>
      </c>
      <c r="J398" t="s">
        <v>359</v>
      </c>
      <c r="K398" t="s">
        <v>2624</v>
      </c>
      <c r="L398" t="s">
        <v>2625</v>
      </c>
      <c r="M398" t="s">
        <v>2626</v>
      </c>
      <c r="N398" t="s">
        <v>2627</v>
      </c>
      <c r="O398" t="s">
        <v>2628</v>
      </c>
      <c r="P398" t="s">
        <v>315</v>
      </c>
      <c r="Q398" t="s">
        <v>2629</v>
      </c>
      <c r="R398" t="s">
        <v>2630</v>
      </c>
      <c r="S398" t="s">
        <v>2631</v>
      </c>
      <c r="T398" s="2" t="s">
        <v>2632</v>
      </c>
      <c r="U398" t="s">
        <v>449</v>
      </c>
      <c r="X398" t="s">
        <v>2633</v>
      </c>
      <c r="AA398" t="s">
        <v>2634</v>
      </c>
    </row>
    <row r="399" spans="1:27" x14ac:dyDescent="0.25">
      <c r="A399" t="s">
        <v>2635</v>
      </c>
      <c r="B399" t="s">
        <v>2636</v>
      </c>
      <c r="C399" t="s">
        <v>29</v>
      </c>
      <c r="D399" t="s">
        <v>341</v>
      </c>
      <c r="E399" t="s">
        <v>2623</v>
      </c>
      <c r="F399" t="s">
        <v>2621</v>
      </c>
      <c r="G399" t="s">
        <v>2622</v>
      </c>
      <c r="H399" t="str">
        <f>INDEX([1]妻子表!$A:$A,MATCH(F399,[1]妻子表!$B:$B,0))</f>
        <v>M001000W01</v>
      </c>
      <c r="I399" t="str">
        <f>VLOOKUP(H399,[1]妻子表!$A:$D,4,0)</f>
        <v>贺氏</v>
      </c>
      <c r="J399" t="s">
        <v>359</v>
      </c>
      <c r="AA399" t="s">
        <v>2637</v>
      </c>
    </row>
    <row r="400" spans="1:27" x14ac:dyDescent="0.25">
      <c r="A400" t="s">
        <v>2638</v>
      </c>
      <c r="B400" t="s">
        <v>2639</v>
      </c>
      <c r="C400" t="s">
        <v>29</v>
      </c>
      <c r="D400" t="s">
        <v>341</v>
      </c>
      <c r="E400" t="s">
        <v>2623</v>
      </c>
      <c r="F400" t="s">
        <v>2621</v>
      </c>
      <c r="G400" t="s">
        <v>2622</v>
      </c>
      <c r="H400" t="str">
        <f>INDEX([1]妻子表!$A:$A,MATCH(F400,[1]妻子表!$B:$B,0))</f>
        <v>M001000W01</v>
      </c>
      <c r="I400" t="str">
        <f>VLOOKUP(H400,[1]妻子表!$A:$D,4,0)</f>
        <v>贺氏</v>
      </c>
      <c r="J400" t="s">
        <v>359</v>
      </c>
      <c r="T400" s="2" t="s">
        <v>2640</v>
      </c>
      <c r="U400" t="s">
        <v>2071</v>
      </c>
      <c r="AA400" t="s">
        <v>2641</v>
      </c>
    </row>
    <row r="401" spans="1:27" x14ac:dyDescent="0.25">
      <c r="A401" t="s">
        <v>2642</v>
      </c>
      <c r="B401" t="s">
        <v>2643</v>
      </c>
      <c r="C401" t="s">
        <v>29</v>
      </c>
      <c r="D401" t="s">
        <v>341</v>
      </c>
      <c r="E401" t="s">
        <v>2623</v>
      </c>
      <c r="F401" t="s">
        <v>2621</v>
      </c>
      <c r="G401" t="s">
        <v>2622</v>
      </c>
      <c r="H401" t="str">
        <f>INDEX([1]妻子表!$A:$A,MATCH(F401,[1]妻子表!$B:$B,0))</f>
        <v>M001000W01</v>
      </c>
      <c r="I401" t="str">
        <f>VLOOKUP(H401,[1]妻子表!$A:$D,4,0)</f>
        <v>贺氏</v>
      </c>
      <c r="J401" t="s">
        <v>359</v>
      </c>
      <c r="K401" t="s">
        <v>2644</v>
      </c>
      <c r="M401" t="s">
        <v>2645</v>
      </c>
      <c r="N401" t="s">
        <v>385</v>
      </c>
      <c r="O401" t="s">
        <v>2646</v>
      </c>
      <c r="P401" t="s">
        <v>108</v>
      </c>
      <c r="T401" s="2" t="s">
        <v>2647</v>
      </c>
      <c r="U401" t="s">
        <v>975</v>
      </c>
      <c r="AA401" t="s">
        <v>2648</v>
      </c>
    </row>
    <row r="402" spans="1:27" x14ac:dyDescent="0.25">
      <c r="A402" t="s">
        <v>2649</v>
      </c>
      <c r="B402" t="s">
        <v>2650</v>
      </c>
      <c r="C402" t="s">
        <v>29</v>
      </c>
      <c r="D402" t="s">
        <v>351</v>
      </c>
      <c r="E402" t="s">
        <v>2623</v>
      </c>
      <c r="F402" t="s">
        <v>2642</v>
      </c>
      <c r="G402" t="s">
        <v>2643</v>
      </c>
      <c r="H402" t="str">
        <f>INDEX([1]妻子表!$A:$A,MATCH(F402,[1]妻子表!$B:$B,0))</f>
        <v>M001003W01</v>
      </c>
      <c r="I402" t="str">
        <f>VLOOKUP(H402,[1]妻子表!$A:$D,4,0)</f>
        <v>张氏</v>
      </c>
      <c r="J402" t="s">
        <v>359</v>
      </c>
      <c r="K402" t="s">
        <v>2651</v>
      </c>
      <c r="M402" t="s">
        <v>2652</v>
      </c>
      <c r="N402" t="s">
        <v>2653</v>
      </c>
      <c r="O402" t="s">
        <v>2654</v>
      </c>
      <c r="P402" t="s">
        <v>200</v>
      </c>
      <c r="T402" s="2" t="s">
        <v>2655</v>
      </c>
      <c r="U402" t="s">
        <v>138</v>
      </c>
      <c r="AA402" t="s">
        <v>2656</v>
      </c>
    </row>
    <row r="403" spans="1:27" x14ac:dyDescent="0.25">
      <c r="A403" t="s">
        <v>2657</v>
      </c>
      <c r="B403" t="s">
        <v>2658</v>
      </c>
      <c r="C403" t="s">
        <v>29</v>
      </c>
      <c r="D403" t="s">
        <v>415</v>
      </c>
      <c r="E403" t="s">
        <v>2623</v>
      </c>
      <c r="F403" t="s">
        <v>2649</v>
      </c>
      <c r="G403" t="s">
        <v>2650</v>
      </c>
      <c r="H403" t="str">
        <f>INDEX([1]妻子表!$A:$A,MATCH(F403,[1]妻子表!$B:$B,0))</f>
        <v>M001004W01</v>
      </c>
      <c r="I403" t="str">
        <f>VLOOKUP(H403,[1]妻子表!$A:$D,4,0)</f>
        <v>李氏</v>
      </c>
      <c r="J403" t="s">
        <v>359</v>
      </c>
      <c r="K403" t="s">
        <v>235</v>
      </c>
      <c r="T403" s="2" t="s">
        <v>2659</v>
      </c>
      <c r="U403" t="s">
        <v>38</v>
      </c>
      <c r="AA403" t="s">
        <v>2660</v>
      </c>
    </row>
    <row r="404" spans="1:27" x14ac:dyDescent="0.25">
      <c r="A404" t="s">
        <v>2661</v>
      </c>
      <c r="B404" t="s">
        <v>2662</v>
      </c>
      <c r="C404" t="s">
        <v>29</v>
      </c>
      <c r="D404" t="s">
        <v>415</v>
      </c>
      <c r="E404" t="s">
        <v>2623</v>
      </c>
      <c r="F404" t="s">
        <v>2649</v>
      </c>
      <c r="G404" t="s">
        <v>2650</v>
      </c>
      <c r="H404" t="str">
        <f>INDEX([1]妻子表!$A:$A,MATCH(F404,[1]妻子表!$B:$B,0))</f>
        <v>M001004W01</v>
      </c>
      <c r="I404" t="str">
        <f>VLOOKUP(H404,[1]妻子表!$A:$D,4,0)</f>
        <v>李氏</v>
      </c>
      <c r="J404" t="s">
        <v>359</v>
      </c>
      <c r="K404" t="s">
        <v>2663</v>
      </c>
      <c r="L404" t="s">
        <v>2625</v>
      </c>
      <c r="M404" t="s">
        <v>2664</v>
      </c>
      <c r="N404" t="s">
        <v>444</v>
      </c>
      <c r="O404" t="s">
        <v>2665</v>
      </c>
      <c r="P404" t="s">
        <v>257</v>
      </c>
      <c r="Q404" t="s">
        <v>2666</v>
      </c>
      <c r="R404" t="s">
        <v>2667</v>
      </c>
      <c r="S404" t="s">
        <v>2668</v>
      </c>
      <c r="T404" s="2" t="s">
        <v>2669</v>
      </c>
      <c r="U404" t="s">
        <v>882</v>
      </c>
      <c r="AA404" t="s">
        <v>2670</v>
      </c>
    </row>
    <row r="405" spans="1:27" x14ac:dyDescent="0.25">
      <c r="A405" t="s">
        <v>2671</v>
      </c>
      <c r="B405" t="s">
        <v>2672</v>
      </c>
      <c r="C405" t="s">
        <v>29</v>
      </c>
      <c r="D405" t="s">
        <v>415</v>
      </c>
      <c r="E405" t="s">
        <v>2623</v>
      </c>
      <c r="F405" t="s">
        <v>2649</v>
      </c>
      <c r="G405" t="s">
        <v>2650</v>
      </c>
      <c r="H405" t="str">
        <f>INDEX([1]妻子表!$A:$A,MATCH(F405,[1]妻子表!$B:$B,0))</f>
        <v>M001004W01</v>
      </c>
      <c r="I405" t="str">
        <f>VLOOKUP(H405,[1]妻子表!$A:$D,4,0)</f>
        <v>李氏</v>
      </c>
      <c r="J405" t="s">
        <v>359</v>
      </c>
      <c r="K405" t="s">
        <v>2673</v>
      </c>
      <c r="T405" s="2" t="s">
        <v>2674</v>
      </c>
      <c r="U405" t="s">
        <v>306</v>
      </c>
      <c r="AA405" t="s">
        <v>2675</v>
      </c>
    </row>
    <row r="406" spans="1:27" x14ac:dyDescent="0.25">
      <c r="A406" t="s">
        <v>2676</v>
      </c>
      <c r="B406" t="s">
        <v>2677</v>
      </c>
      <c r="C406" t="s">
        <v>29</v>
      </c>
      <c r="D406" t="s">
        <v>441</v>
      </c>
      <c r="E406" t="s">
        <v>2623</v>
      </c>
      <c r="F406" t="s">
        <v>2657</v>
      </c>
      <c r="G406" t="s">
        <v>2658</v>
      </c>
      <c r="H406" t="str">
        <f>INDEX([1]妻子表!$A:$A,MATCH(F406,[1]妻子表!$B:$B,0))</f>
        <v>M001005W01</v>
      </c>
      <c r="I406" t="str">
        <f>VLOOKUP(H406,[1]妻子表!$A:$D,4,0)</f>
        <v>王氏</v>
      </c>
      <c r="J406" t="s">
        <v>359</v>
      </c>
      <c r="AA406" t="s">
        <v>2678</v>
      </c>
    </row>
    <row r="407" spans="1:27" x14ac:dyDescent="0.25">
      <c r="A407" t="s">
        <v>2679</v>
      </c>
      <c r="B407" t="s">
        <v>2680</v>
      </c>
      <c r="C407" t="s">
        <v>29</v>
      </c>
      <c r="D407" t="s">
        <v>441</v>
      </c>
      <c r="E407" t="s">
        <v>2623</v>
      </c>
      <c r="F407" t="s">
        <v>2661</v>
      </c>
      <c r="G407" t="s">
        <v>2662</v>
      </c>
      <c r="H407" t="str">
        <f>INDEX([1]妻子表!$A:$A,MATCH(F407,[1]妻子表!$B:$B,0))</f>
        <v>M001006W01</v>
      </c>
      <c r="I407" t="str">
        <f>VLOOKUP(H407,[1]妻子表!$A:$D,4,0)</f>
        <v>肖氏</v>
      </c>
      <c r="J407" t="s">
        <v>359</v>
      </c>
      <c r="K407" t="s">
        <v>235</v>
      </c>
      <c r="L407" t="s">
        <v>311</v>
      </c>
      <c r="M407" t="s">
        <v>2681</v>
      </c>
      <c r="N407" t="s">
        <v>2682</v>
      </c>
      <c r="O407" t="s">
        <v>2683</v>
      </c>
      <c r="P407" t="s">
        <v>407</v>
      </c>
      <c r="Q407" t="s">
        <v>2684</v>
      </c>
      <c r="R407" t="s">
        <v>2685</v>
      </c>
      <c r="S407" t="s">
        <v>2686</v>
      </c>
      <c r="T407" s="2" t="s">
        <v>2687</v>
      </c>
      <c r="U407" t="s">
        <v>354</v>
      </c>
      <c r="AA407" t="s">
        <v>2688</v>
      </c>
    </row>
    <row r="408" spans="1:27" x14ac:dyDescent="0.25">
      <c r="A408" t="s">
        <v>2689</v>
      </c>
      <c r="B408" t="s">
        <v>2690</v>
      </c>
      <c r="C408" t="s">
        <v>29</v>
      </c>
      <c r="D408" t="s">
        <v>441</v>
      </c>
      <c r="E408" t="s">
        <v>2623</v>
      </c>
      <c r="F408" t="s">
        <v>2661</v>
      </c>
      <c r="G408" t="s">
        <v>2662</v>
      </c>
      <c r="H408" t="str">
        <f>INDEX([1]妻子表!$A:$A,MATCH(F408,[1]妻子表!$B:$B,0))</f>
        <v>M001006W01</v>
      </c>
      <c r="I408" t="str">
        <f>VLOOKUP(H408,[1]妻子表!$A:$D,4,0)</f>
        <v>肖氏</v>
      </c>
      <c r="J408" t="s">
        <v>359</v>
      </c>
      <c r="AA408" t="s">
        <v>2678</v>
      </c>
    </row>
    <row r="409" spans="1:27" x14ac:dyDescent="0.25">
      <c r="A409" t="s">
        <v>2691</v>
      </c>
      <c r="B409" t="s">
        <v>2692</v>
      </c>
      <c r="C409" t="s">
        <v>29</v>
      </c>
      <c r="D409" t="s">
        <v>441</v>
      </c>
      <c r="E409" t="s">
        <v>2623</v>
      </c>
      <c r="F409" t="s">
        <v>2671</v>
      </c>
      <c r="G409" t="s">
        <v>2672</v>
      </c>
      <c r="H409" t="str">
        <f>INDEX([1]妻子表!$A:$A,MATCH(F409,[1]妻子表!$B:$B,0))</f>
        <v>M001007W01</v>
      </c>
      <c r="I409" t="str">
        <f>VLOOKUP(H409,[1]妻子表!$A:$D,4,0)</f>
        <v>旷氏</v>
      </c>
      <c r="J409" t="s">
        <v>359</v>
      </c>
      <c r="K409" t="s">
        <v>2693</v>
      </c>
      <c r="L409" t="s">
        <v>1215</v>
      </c>
      <c r="M409" t="s">
        <v>2694</v>
      </c>
      <c r="N409" t="s">
        <v>508</v>
      </c>
      <c r="O409" t="s">
        <v>2695</v>
      </c>
      <c r="P409" t="s">
        <v>224</v>
      </c>
      <c r="Q409" t="s">
        <v>2696</v>
      </c>
      <c r="R409" t="s">
        <v>698</v>
      </c>
      <c r="S409" t="s">
        <v>2697</v>
      </c>
      <c r="T409" s="2" t="s">
        <v>2698</v>
      </c>
      <c r="U409" t="s">
        <v>174</v>
      </c>
      <c r="AA409" t="s">
        <v>2699</v>
      </c>
    </row>
    <row r="410" spans="1:27" x14ac:dyDescent="0.25">
      <c r="A410" t="s">
        <v>2700</v>
      </c>
      <c r="B410" t="s">
        <v>2701</v>
      </c>
      <c r="C410" t="s">
        <v>29</v>
      </c>
      <c r="D410" t="s">
        <v>441</v>
      </c>
      <c r="E410" t="s">
        <v>2623</v>
      </c>
      <c r="F410" t="s">
        <v>2671</v>
      </c>
      <c r="G410" t="s">
        <v>2672</v>
      </c>
      <c r="H410" t="str">
        <f>INDEX([1]妻子表!$A:$A,MATCH(F410,[1]妻子表!$B:$B,0))</f>
        <v>M001007W01</v>
      </c>
      <c r="I410" t="str">
        <f>VLOOKUP(H410,[1]妻子表!$A:$D,4,0)</f>
        <v>旷氏</v>
      </c>
      <c r="J410" t="s">
        <v>359</v>
      </c>
      <c r="K410" t="s">
        <v>2702</v>
      </c>
      <c r="T410" s="2" t="s">
        <v>2703</v>
      </c>
      <c r="U410" t="s">
        <v>777</v>
      </c>
      <c r="AA410" t="s">
        <v>2704</v>
      </c>
    </row>
    <row r="411" spans="1:27" x14ac:dyDescent="0.25">
      <c r="A411" t="s">
        <v>2705</v>
      </c>
      <c r="B411" t="s">
        <v>2706</v>
      </c>
      <c r="C411" t="s">
        <v>29</v>
      </c>
      <c r="D411" t="s">
        <v>478</v>
      </c>
      <c r="E411" t="s">
        <v>2623</v>
      </c>
      <c r="F411" t="s">
        <v>2679</v>
      </c>
      <c r="G411" t="s">
        <v>2680</v>
      </c>
      <c r="H411" t="str">
        <f>INDEX([1]妻子表!$A:$A,MATCH(F411,[1]妻子表!$B:$B,0))</f>
        <v>M001009W01</v>
      </c>
      <c r="I411" t="str">
        <f>VLOOKUP(H411,[1]妻子表!$A:$D,4,0)</f>
        <v>谢氏</v>
      </c>
      <c r="J411" t="s">
        <v>359</v>
      </c>
      <c r="K411" t="s">
        <v>2707</v>
      </c>
      <c r="L411" t="s">
        <v>2708</v>
      </c>
      <c r="M411" t="s">
        <v>2709</v>
      </c>
      <c r="N411" t="s">
        <v>2710</v>
      </c>
      <c r="O411" t="s">
        <v>2711</v>
      </c>
      <c r="P411" t="s">
        <v>458</v>
      </c>
      <c r="Q411" t="s">
        <v>2712</v>
      </c>
      <c r="R411" t="s">
        <v>727</v>
      </c>
      <c r="S411" t="s">
        <v>2713</v>
      </c>
      <c r="T411" s="2" t="s">
        <v>2714</v>
      </c>
      <c r="U411" t="s">
        <v>565</v>
      </c>
      <c r="AA411" t="s">
        <v>2715</v>
      </c>
    </row>
    <row r="412" spans="1:27" x14ac:dyDescent="0.25">
      <c r="A412" t="s">
        <v>2716</v>
      </c>
      <c r="B412" t="s">
        <v>2717</v>
      </c>
      <c r="C412" t="s">
        <v>29</v>
      </c>
      <c r="D412" t="s">
        <v>478</v>
      </c>
      <c r="E412" t="s">
        <v>2623</v>
      </c>
      <c r="F412" t="s">
        <v>2691</v>
      </c>
      <c r="G412" t="s">
        <v>2692</v>
      </c>
      <c r="H412" t="str">
        <f>INDEX([1]妻子表!$A:$A,MATCH(F412,[1]妻子表!$B:$B,0))</f>
        <v>M001011W01</v>
      </c>
      <c r="I412" t="str">
        <f>VLOOKUP(H412,[1]妻子表!$A:$D,4,0)</f>
        <v>刘氏</v>
      </c>
      <c r="J412" t="s">
        <v>359</v>
      </c>
      <c r="K412" t="s">
        <v>2718</v>
      </c>
      <c r="T412" s="2" t="s">
        <v>2719</v>
      </c>
      <c r="U412" t="s">
        <v>777</v>
      </c>
      <c r="AA412" t="s">
        <v>2720</v>
      </c>
    </row>
    <row r="413" spans="1:27" x14ac:dyDescent="0.25">
      <c r="A413" t="s">
        <v>2721</v>
      </c>
      <c r="B413" t="s">
        <v>2722</v>
      </c>
      <c r="C413" t="s">
        <v>29</v>
      </c>
      <c r="D413" t="s">
        <v>478</v>
      </c>
      <c r="E413" t="s">
        <v>2623</v>
      </c>
      <c r="F413" t="s">
        <v>2700</v>
      </c>
      <c r="G413" t="s">
        <v>2701</v>
      </c>
      <c r="H413" t="str">
        <f>INDEX([1]妻子表!$A:$A,MATCH(F413,[1]妻子表!$B:$B,0))</f>
        <v>M001012W01</v>
      </c>
      <c r="I413" t="str">
        <f>VLOOKUP(H413,[1]妻子表!$A:$D,4,0)</f>
        <v>某氏</v>
      </c>
      <c r="J413" t="s">
        <v>359</v>
      </c>
      <c r="T413" s="2" t="s">
        <v>2723</v>
      </c>
      <c r="U413" t="s">
        <v>777</v>
      </c>
      <c r="AA413" t="s">
        <v>2724</v>
      </c>
    </row>
    <row r="414" spans="1:27" x14ac:dyDescent="0.25">
      <c r="A414" t="s">
        <v>2725</v>
      </c>
      <c r="B414" t="s">
        <v>2726</v>
      </c>
      <c r="C414" t="s">
        <v>29</v>
      </c>
      <c r="D414" t="s">
        <v>533</v>
      </c>
      <c r="E414" t="s">
        <v>2623</v>
      </c>
      <c r="F414" t="s">
        <v>2705</v>
      </c>
      <c r="G414" t="s">
        <v>2706</v>
      </c>
      <c r="H414" t="str">
        <f>INDEX([1]妻子表!$A:$A,MATCH(F414,[1]妻子表!$B:$B,0))</f>
        <v>M001013W01</v>
      </c>
      <c r="I414" t="str">
        <f>VLOOKUP(H414,[1]妻子表!$A:$D,4,0)</f>
        <v>孟氏</v>
      </c>
      <c r="J414" t="s">
        <v>359</v>
      </c>
      <c r="K414" t="s">
        <v>2707</v>
      </c>
      <c r="L414" t="s">
        <v>708</v>
      </c>
      <c r="M414" t="s">
        <v>2727</v>
      </c>
      <c r="N414" t="s">
        <v>555</v>
      </c>
      <c r="O414" t="s">
        <v>2728</v>
      </c>
      <c r="P414" t="s">
        <v>184</v>
      </c>
      <c r="Q414" t="s">
        <v>2729</v>
      </c>
      <c r="R414" t="s">
        <v>1011</v>
      </c>
      <c r="S414" t="s">
        <v>2730</v>
      </c>
      <c r="T414" s="2" t="s">
        <v>2731</v>
      </c>
      <c r="U414" t="s">
        <v>2732</v>
      </c>
      <c r="AA414" t="s">
        <v>2733</v>
      </c>
    </row>
    <row r="415" spans="1:27" x14ac:dyDescent="0.25">
      <c r="A415" t="s">
        <v>2734</v>
      </c>
      <c r="B415" t="s">
        <v>2735</v>
      </c>
      <c r="C415" t="s">
        <v>29</v>
      </c>
      <c r="D415" t="s">
        <v>533</v>
      </c>
      <c r="E415" t="s">
        <v>2623</v>
      </c>
      <c r="F415" t="s">
        <v>2716</v>
      </c>
      <c r="G415" t="s">
        <v>2717</v>
      </c>
      <c r="H415" t="str">
        <f>INDEX([1]妻子表!$A:$A,MATCH(F415,[1]妻子表!$B:$B,0))</f>
        <v>M001014W01</v>
      </c>
      <c r="I415" t="str">
        <f>VLOOKUP(H415,[1]妻子表!$A:$D,4,0)</f>
        <v>某氏</v>
      </c>
      <c r="J415" t="s">
        <v>359</v>
      </c>
      <c r="K415" t="s">
        <v>2736</v>
      </c>
      <c r="T415" s="2" t="s">
        <v>2737</v>
      </c>
      <c r="U415" t="s">
        <v>777</v>
      </c>
      <c r="AA415" t="s">
        <v>2738</v>
      </c>
    </row>
    <row r="416" spans="1:27" x14ac:dyDescent="0.25">
      <c r="A416" t="s">
        <v>2739</v>
      </c>
      <c r="B416" t="s">
        <v>2740</v>
      </c>
      <c r="C416" t="s">
        <v>29</v>
      </c>
      <c r="D416" t="s">
        <v>533</v>
      </c>
      <c r="E416" t="s">
        <v>2623</v>
      </c>
      <c r="F416" t="s">
        <v>2716</v>
      </c>
      <c r="G416" t="s">
        <v>2717</v>
      </c>
      <c r="H416" t="str">
        <f>INDEX([1]妻子表!$A:$A,MATCH(F416,[1]妻子表!$B:$B,0))</f>
        <v>M001014W01</v>
      </c>
      <c r="I416" t="str">
        <f>VLOOKUP(H416,[1]妻子表!$A:$D,4,0)</f>
        <v>某氏</v>
      </c>
      <c r="J416" t="s">
        <v>359</v>
      </c>
      <c r="T416" s="2" t="s">
        <v>2741</v>
      </c>
      <c r="U416" t="s">
        <v>777</v>
      </c>
      <c r="AA416" t="s">
        <v>2742</v>
      </c>
    </row>
    <row r="417" spans="1:27" x14ac:dyDescent="0.25">
      <c r="A417" t="s">
        <v>2743</v>
      </c>
      <c r="B417" t="s">
        <v>2744</v>
      </c>
      <c r="C417" t="s">
        <v>29</v>
      </c>
      <c r="D417" t="s">
        <v>533</v>
      </c>
      <c r="E417" t="s">
        <v>2623</v>
      </c>
      <c r="F417" t="s">
        <v>2721</v>
      </c>
      <c r="G417" t="s">
        <v>2722</v>
      </c>
      <c r="H417" t="str">
        <f>INDEX([1]妻子表!$A:$A,MATCH(F417,[1]妻子表!$B:$B,0))</f>
        <v>M001015W01</v>
      </c>
      <c r="I417" t="str">
        <f>VLOOKUP(H417,[1]妻子表!$A:$D,4,0)</f>
        <v>某氏</v>
      </c>
      <c r="J417" t="s">
        <v>359</v>
      </c>
      <c r="T417" s="2" t="s">
        <v>2745</v>
      </c>
      <c r="U417" t="s">
        <v>777</v>
      </c>
      <c r="AA417" t="s">
        <v>2746</v>
      </c>
    </row>
    <row r="418" spans="1:27" x14ac:dyDescent="0.25">
      <c r="A418" t="s">
        <v>2747</v>
      </c>
      <c r="B418" t="s">
        <v>2748</v>
      </c>
      <c r="C418" t="s">
        <v>29</v>
      </c>
      <c r="D418" t="s">
        <v>614</v>
      </c>
      <c r="E418" t="s">
        <v>2623</v>
      </c>
      <c r="F418" t="s">
        <v>2725</v>
      </c>
      <c r="G418" t="s">
        <v>2726</v>
      </c>
      <c r="H418" t="str">
        <f>INDEX([1]妻子表!$A:$A,MATCH(F418,[1]妻子表!$B:$B,0))</f>
        <v>M001016W01</v>
      </c>
      <c r="I418" t="str">
        <f>VLOOKUP(H418,[1]妻子表!$A:$D,4,0)</f>
        <v>沈氏</v>
      </c>
      <c r="J418" t="s">
        <v>359</v>
      </c>
      <c r="K418" t="s">
        <v>2749</v>
      </c>
      <c r="L418" t="s">
        <v>553</v>
      </c>
      <c r="M418" t="s">
        <v>2750</v>
      </c>
      <c r="N418" t="s">
        <v>888</v>
      </c>
      <c r="O418" t="s">
        <v>2751</v>
      </c>
      <c r="P418" t="s">
        <v>601</v>
      </c>
      <c r="Q418" t="s">
        <v>2752</v>
      </c>
      <c r="R418" t="s">
        <v>1587</v>
      </c>
      <c r="S418" t="s">
        <v>2753</v>
      </c>
      <c r="T418" s="2" t="s">
        <v>2754</v>
      </c>
      <c r="U418" t="s">
        <v>2755</v>
      </c>
      <c r="Z418" t="s">
        <v>2756</v>
      </c>
      <c r="AA418" t="s">
        <v>2757</v>
      </c>
    </row>
    <row r="419" spans="1:27" x14ac:dyDescent="0.25">
      <c r="A419" t="s">
        <v>2758</v>
      </c>
      <c r="B419" t="s">
        <v>2759</v>
      </c>
      <c r="C419" t="s">
        <v>29</v>
      </c>
      <c r="D419" t="s">
        <v>614</v>
      </c>
      <c r="E419" t="s">
        <v>2623</v>
      </c>
      <c r="F419" t="s">
        <v>2725</v>
      </c>
      <c r="G419" t="s">
        <v>2726</v>
      </c>
      <c r="H419" t="str">
        <f>INDEX([1]妻子表!$A:$A,MATCH(F419,[1]妻子表!$B:$B,0))</f>
        <v>M001016W01</v>
      </c>
      <c r="I419" t="str">
        <f>VLOOKUP(H419,[1]妻子表!$A:$D,4,0)</f>
        <v>沈氏</v>
      </c>
      <c r="J419" t="s">
        <v>359</v>
      </c>
      <c r="K419" t="s">
        <v>2651</v>
      </c>
      <c r="L419" t="s">
        <v>2338</v>
      </c>
      <c r="M419" t="s">
        <v>2760</v>
      </c>
      <c r="N419" t="s">
        <v>2761</v>
      </c>
      <c r="O419" t="s">
        <v>2762</v>
      </c>
      <c r="P419" t="s">
        <v>184</v>
      </c>
      <c r="Q419" t="s">
        <v>2763</v>
      </c>
      <c r="R419" t="s">
        <v>1000</v>
      </c>
      <c r="S419" t="s">
        <v>2764</v>
      </c>
      <c r="T419" s="2" t="s">
        <v>2765</v>
      </c>
      <c r="U419" t="s">
        <v>2766</v>
      </c>
      <c r="AA419" t="s">
        <v>2767</v>
      </c>
    </row>
    <row r="420" spans="1:27" x14ac:dyDescent="0.25">
      <c r="A420" t="s">
        <v>2768</v>
      </c>
      <c r="B420" t="s">
        <v>2769</v>
      </c>
      <c r="C420" t="s">
        <v>29</v>
      </c>
      <c r="D420" t="s">
        <v>614</v>
      </c>
      <c r="E420" t="s">
        <v>2623</v>
      </c>
      <c r="F420" t="s">
        <v>2725</v>
      </c>
      <c r="G420" t="s">
        <v>2726</v>
      </c>
      <c r="H420" t="str">
        <f>INDEX([1]妻子表!$A:$A,MATCH(F420,[1]妻子表!$B:$B,0))</f>
        <v>M001016W01</v>
      </c>
      <c r="I420" t="str">
        <f>VLOOKUP(H420,[1]妻子表!$A:$D,4,0)</f>
        <v>沈氏</v>
      </c>
      <c r="J420" t="s">
        <v>359</v>
      </c>
      <c r="K420" t="s">
        <v>2770</v>
      </c>
      <c r="M420" t="s">
        <v>2771</v>
      </c>
      <c r="N420" t="s">
        <v>698</v>
      </c>
      <c r="O420" t="s">
        <v>2772</v>
      </c>
      <c r="P420" t="s">
        <v>497</v>
      </c>
      <c r="T420" s="2" t="s">
        <v>2773</v>
      </c>
      <c r="U420" t="s">
        <v>882</v>
      </c>
      <c r="AA420" t="s">
        <v>2774</v>
      </c>
    </row>
    <row r="421" spans="1:27" x14ac:dyDescent="0.25">
      <c r="A421" t="s">
        <v>2775</v>
      </c>
      <c r="B421" t="s">
        <v>2776</v>
      </c>
      <c r="C421" t="s">
        <v>29</v>
      </c>
      <c r="D421" t="s">
        <v>614</v>
      </c>
      <c r="E421" t="s">
        <v>2623</v>
      </c>
      <c r="F421" t="s">
        <v>2734</v>
      </c>
      <c r="G421" t="s">
        <v>2735</v>
      </c>
      <c r="H421" t="str">
        <f>INDEX([1]妻子表!$A:$A,MATCH(F421,[1]妻子表!$B:$B,0))</f>
        <v>M001017W01</v>
      </c>
      <c r="I421" t="str">
        <f>VLOOKUP(H421,[1]妻子表!$A:$D,4,0)</f>
        <v>某氏</v>
      </c>
      <c r="J421" t="s">
        <v>359</v>
      </c>
      <c r="T421" s="2" t="s">
        <v>2777</v>
      </c>
      <c r="U421" t="s">
        <v>174</v>
      </c>
      <c r="AA421" t="s">
        <v>2778</v>
      </c>
    </row>
    <row r="422" spans="1:27" x14ac:dyDescent="0.25">
      <c r="A422" t="s">
        <v>2779</v>
      </c>
      <c r="B422" t="s">
        <v>2780</v>
      </c>
      <c r="C422" t="s">
        <v>29</v>
      </c>
      <c r="D422" t="s">
        <v>614</v>
      </c>
      <c r="E422" t="s">
        <v>2623</v>
      </c>
      <c r="F422" t="s">
        <v>2734</v>
      </c>
      <c r="G422" t="s">
        <v>2735</v>
      </c>
      <c r="H422" t="str">
        <f>INDEX([1]妻子表!$A:$A,MATCH(F422,[1]妻子表!$B:$B,0))</f>
        <v>M001017W01</v>
      </c>
      <c r="I422" t="str">
        <f>VLOOKUP(H422,[1]妻子表!$A:$D,4,0)</f>
        <v>某氏</v>
      </c>
      <c r="J422" t="s">
        <v>359</v>
      </c>
    </row>
    <row r="423" spans="1:27" x14ac:dyDescent="0.25">
      <c r="A423" t="s">
        <v>2781</v>
      </c>
      <c r="B423" t="s">
        <v>2782</v>
      </c>
      <c r="C423" t="s">
        <v>29</v>
      </c>
      <c r="D423" t="s">
        <v>614</v>
      </c>
      <c r="E423" t="s">
        <v>2623</v>
      </c>
      <c r="F423" t="s">
        <v>2739</v>
      </c>
      <c r="G423" t="s">
        <v>2740</v>
      </c>
      <c r="H423" t="str">
        <f>INDEX([1]妻子表!$A:$A,MATCH(F423,[1]妻子表!$B:$B,0))</f>
        <v>M001018W01</v>
      </c>
      <c r="I423" t="str">
        <f>VLOOKUP(H423,[1]妻子表!$A:$D,4,0)</f>
        <v>某氏</v>
      </c>
      <c r="J423" t="s">
        <v>359</v>
      </c>
    </row>
    <row r="424" spans="1:27" x14ac:dyDescent="0.25">
      <c r="A424" t="s">
        <v>2783</v>
      </c>
      <c r="B424" t="s">
        <v>2784</v>
      </c>
      <c r="C424" t="s">
        <v>29</v>
      </c>
      <c r="D424" t="s">
        <v>614</v>
      </c>
      <c r="E424" t="s">
        <v>2623</v>
      </c>
      <c r="F424" t="s">
        <v>2743</v>
      </c>
      <c r="G424" t="s">
        <v>2744</v>
      </c>
      <c r="H424" t="str">
        <f>INDEX([1]妻子表!$A:$A,MATCH(F424,[1]妻子表!$B:$B,0))</f>
        <v>M001019W01</v>
      </c>
      <c r="I424" t="str">
        <f>VLOOKUP(H424,[1]妻子表!$A:$D,4,0)</f>
        <v>某氏</v>
      </c>
      <c r="J424" t="s">
        <v>359</v>
      </c>
      <c r="T424" s="2" t="s">
        <v>2785</v>
      </c>
      <c r="U424" t="s">
        <v>777</v>
      </c>
      <c r="AA424" t="s">
        <v>2786</v>
      </c>
    </row>
    <row r="425" spans="1:27" x14ac:dyDescent="0.25">
      <c r="A425" t="s">
        <v>2787</v>
      </c>
      <c r="B425" t="s">
        <v>2788</v>
      </c>
      <c r="C425" t="s">
        <v>29</v>
      </c>
      <c r="D425" t="s">
        <v>761</v>
      </c>
      <c r="E425" t="s">
        <v>2623</v>
      </c>
      <c r="F425" t="s">
        <v>2747</v>
      </c>
      <c r="G425" t="s">
        <v>2748</v>
      </c>
      <c r="H425" t="str">
        <f>INDEX([1]妻子表!$A:$A,MATCH(F425,[1]妻子表!$B:$B,0))</f>
        <v>M001020W01</v>
      </c>
      <c r="I425" t="str">
        <f>VLOOKUP(H425,[1]妻子表!$A:$D,4,0)</f>
        <v>傅氏</v>
      </c>
      <c r="J425" t="s">
        <v>359</v>
      </c>
      <c r="K425" t="s">
        <v>2789</v>
      </c>
      <c r="L425" t="s">
        <v>104</v>
      </c>
      <c r="M425" t="s">
        <v>2790</v>
      </c>
      <c r="N425" t="s">
        <v>959</v>
      </c>
      <c r="O425" t="s">
        <v>2791</v>
      </c>
      <c r="P425" t="s">
        <v>240</v>
      </c>
      <c r="Q425" t="s">
        <v>2792</v>
      </c>
      <c r="R425" t="s">
        <v>2015</v>
      </c>
      <c r="S425" t="s">
        <v>2793</v>
      </c>
      <c r="T425" s="2" t="s">
        <v>2794</v>
      </c>
      <c r="U425" t="s">
        <v>2071</v>
      </c>
      <c r="Z425" t="s">
        <v>2795</v>
      </c>
      <c r="AA425" t="s">
        <v>2796</v>
      </c>
    </row>
    <row r="426" spans="1:27" x14ac:dyDescent="0.25">
      <c r="A426" t="s">
        <v>2797</v>
      </c>
      <c r="B426" t="s">
        <v>2798</v>
      </c>
      <c r="C426" t="s">
        <v>29</v>
      </c>
      <c r="D426" t="s">
        <v>761</v>
      </c>
      <c r="E426" t="s">
        <v>2623</v>
      </c>
      <c r="F426" t="s">
        <v>2747</v>
      </c>
      <c r="G426" t="s">
        <v>2748</v>
      </c>
      <c r="H426" t="str">
        <f>INDEX([1]妻子表!$A:$A,MATCH(F426,[1]妻子表!$B:$B,0))</f>
        <v>M001020W01</v>
      </c>
      <c r="I426" t="str">
        <f>VLOOKUP(H426,[1]妻子表!$A:$D,4,0)</f>
        <v>傅氏</v>
      </c>
      <c r="J426" t="s">
        <v>359</v>
      </c>
      <c r="K426" t="s">
        <v>2799</v>
      </c>
      <c r="L426" t="s">
        <v>553</v>
      </c>
      <c r="M426" t="s">
        <v>2800</v>
      </c>
      <c r="N426" t="s">
        <v>1000</v>
      </c>
      <c r="O426" t="s">
        <v>2801</v>
      </c>
      <c r="P426" t="s">
        <v>315</v>
      </c>
      <c r="Q426" t="s">
        <v>2802</v>
      </c>
      <c r="R426" t="s">
        <v>1343</v>
      </c>
      <c r="S426" t="s">
        <v>2803</v>
      </c>
      <c r="T426" s="2" t="s">
        <v>2804</v>
      </c>
      <c r="U426" t="s">
        <v>174</v>
      </c>
      <c r="AA426" t="s">
        <v>2805</v>
      </c>
    </row>
    <row r="427" spans="1:27" x14ac:dyDescent="0.25">
      <c r="A427" t="s">
        <v>2806</v>
      </c>
      <c r="B427" t="s">
        <v>2807</v>
      </c>
      <c r="C427" t="s">
        <v>29</v>
      </c>
      <c r="D427" t="s">
        <v>761</v>
      </c>
      <c r="E427" t="s">
        <v>2623</v>
      </c>
      <c r="F427" t="s">
        <v>2747</v>
      </c>
      <c r="G427" t="s">
        <v>2748</v>
      </c>
      <c r="H427" t="str">
        <f>INDEX([1]妻子表!$A:$A,MATCH(F427,[1]妻子表!$B:$B,0))</f>
        <v>M001020W01</v>
      </c>
      <c r="I427" t="str">
        <f>VLOOKUP(H427,[1]妻子表!$A:$D,4,0)</f>
        <v>傅氏</v>
      </c>
      <c r="J427" t="s">
        <v>359</v>
      </c>
      <c r="K427" t="s">
        <v>2789</v>
      </c>
      <c r="L427" t="s">
        <v>1228</v>
      </c>
      <c r="M427" t="s">
        <v>2808</v>
      </c>
      <c r="N427" t="s">
        <v>678</v>
      </c>
      <c r="O427" t="s">
        <v>2809</v>
      </c>
      <c r="P427" t="s">
        <v>169</v>
      </c>
      <c r="Q427" t="s">
        <v>2810</v>
      </c>
      <c r="R427" t="s">
        <v>2811</v>
      </c>
      <c r="S427" t="s">
        <v>2812</v>
      </c>
      <c r="T427" s="2" t="s">
        <v>2813</v>
      </c>
      <c r="U427" t="s">
        <v>174</v>
      </c>
      <c r="AA427" t="s">
        <v>2814</v>
      </c>
    </row>
    <row r="428" spans="1:27" x14ac:dyDescent="0.25">
      <c r="A428" t="s">
        <v>2815</v>
      </c>
      <c r="B428" t="s">
        <v>2816</v>
      </c>
      <c r="C428" t="s">
        <v>29</v>
      </c>
      <c r="D428" t="s">
        <v>761</v>
      </c>
      <c r="E428" t="s">
        <v>2623</v>
      </c>
      <c r="F428" t="s">
        <v>2758</v>
      </c>
      <c r="G428" t="s">
        <v>2759</v>
      </c>
      <c r="H428" t="str">
        <f>INDEX([1]妻子表!$A:$A,MATCH(F428,[1]妻子表!$B:$B,0))</f>
        <v>M001021W01</v>
      </c>
      <c r="I428" t="str">
        <f>VLOOKUP(H428,[1]妻子表!$A:$D,4,0)</f>
        <v>匡氏</v>
      </c>
      <c r="J428" t="s">
        <v>359</v>
      </c>
      <c r="AA428" t="s">
        <v>2817</v>
      </c>
    </row>
    <row r="429" spans="1:27" x14ac:dyDescent="0.25">
      <c r="A429" t="s">
        <v>2818</v>
      </c>
      <c r="B429" t="s">
        <v>2819</v>
      </c>
      <c r="C429" t="s">
        <v>29</v>
      </c>
      <c r="D429" t="s">
        <v>761</v>
      </c>
      <c r="E429" t="s">
        <v>2623</v>
      </c>
      <c r="F429" t="s">
        <v>2768</v>
      </c>
      <c r="G429" t="s">
        <v>2769</v>
      </c>
      <c r="H429" t="str">
        <f>INDEX([1]妻子表!$A:$A,MATCH(F429,[1]妻子表!$B:$B,0))</f>
        <v>M001022W01</v>
      </c>
      <c r="I429" t="str">
        <f>VLOOKUP(H429,[1]妻子表!$A:$D,4,0)</f>
        <v>肖氏</v>
      </c>
      <c r="J429" t="s">
        <v>359</v>
      </c>
      <c r="K429" t="s">
        <v>2820</v>
      </c>
      <c r="L429" t="s">
        <v>180</v>
      </c>
      <c r="M429" t="s">
        <v>2821</v>
      </c>
      <c r="N429" t="s">
        <v>701</v>
      </c>
      <c r="O429" t="s">
        <v>2822</v>
      </c>
      <c r="P429" t="s">
        <v>108</v>
      </c>
      <c r="Q429" t="s">
        <v>2823</v>
      </c>
      <c r="R429" t="s">
        <v>1532</v>
      </c>
      <c r="S429" t="s">
        <v>2824</v>
      </c>
      <c r="T429" s="2" t="s">
        <v>2825</v>
      </c>
      <c r="U429" t="s">
        <v>2826</v>
      </c>
      <c r="AA429" t="s">
        <v>2827</v>
      </c>
    </row>
    <row r="430" spans="1:27" x14ac:dyDescent="0.25">
      <c r="A430" t="s">
        <v>2828</v>
      </c>
      <c r="B430" t="s">
        <v>2829</v>
      </c>
      <c r="C430" t="s">
        <v>29</v>
      </c>
      <c r="D430" t="s">
        <v>761</v>
      </c>
      <c r="E430" t="s">
        <v>2623</v>
      </c>
      <c r="F430" t="s">
        <v>2768</v>
      </c>
      <c r="G430" t="s">
        <v>2769</v>
      </c>
      <c r="H430" t="str">
        <f>INDEX([1]妻子表!$A:$A,MATCH(F430,[1]妻子表!$B:$B,0))</f>
        <v>M001022W01</v>
      </c>
      <c r="I430" t="str">
        <f>VLOOKUP(H430,[1]妻子表!$A:$D,4,0)</f>
        <v>肖氏</v>
      </c>
      <c r="J430" t="s">
        <v>359</v>
      </c>
      <c r="M430" t="s">
        <v>2830</v>
      </c>
      <c r="N430" t="s">
        <v>575</v>
      </c>
      <c r="O430" t="s">
        <v>2831</v>
      </c>
      <c r="P430" t="s">
        <v>407</v>
      </c>
      <c r="AA430" t="s">
        <v>2832</v>
      </c>
    </row>
    <row r="431" spans="1:27" x14ac:dyDescent="0.25">
      <c r="A431" t="s">
        <v>2833</v>
      </c>
      <c r="B431" t="s">
        <v>2834</v>
      </c>
      <c r="C431" t="s">
        <v>29</v>
      </c>
      <c r="D431" t="s">
        <v>761</v>
      </c>
      <c r="E431" t="s">
        <v>2623</v>
      </c>
      <c r="F431" t="s">
        <v>2768</v>
      </c>
      <c r="G431" t="s">
        <v>2769</v>
      </c>
      <c r="H431" t="str">
        <f>INDEX([1]妻子表!$A:$A,MATCH(F431,[1]妻子表!$B:$B,0))</f>
        <v>M001022W01</v>
      </c>
      <c r="I431" t="str">
        <f>VLOOKUP(H431,[1]妻子表!$A:$D,4,0)</f>
        <v>肖氏</v>
      </c>
      <c r="J431" t="s">
        <v>359</v>
      </c>
      <c r="M431" t="s">
        <v>2835</v>
      </c>
      <c r="N431" t="s">
        <v>1044</v>
      </c>
      <c r="O431" t="s">
        <v>2836</v>
      </c>
      <c r="P431" t="s">
        <v>497</v>
      </c>
      <c r="AA431" t="s">
        <v>2837</v>
      </c>
    </row>
    <row r="432" spans="1:27" x14ac:dyDescent="0.25">
      <c r="A432" t="s">
        <v>2838</v>
      </c>
      <c r="B432" t="s">
        <v>2839</v>
      </c>
      <c r="C432" t="s">
        <v>29</v>
      </c>
      <c r="D432" t="s">
        <v>761</v>
      </c>
      <c r="E432" t="s">
        <v>2623</v>
      </c>
      <c r="F432" t="s">
        <v>2783</v>
      </c>
      <c r="G432" t="s">
        <v>2784</v>
      </c>
      <c r="H432" t="str">
        <f>INDEX([1]妻子表!$A:$A,MATCH(F432,[1]妻子表!$B:$B,0))</f>
        <v>M001026W01</v>
      </c>
      <c r="I432" t="str">
        <f>VLOOKUP(H432,[1]妻子表!$A:$D,4,0)</f>
        <v>某氏</v>
      </c>
      <c r="J432" t="s">
        <v>359</v>
      </c>
      <c r="T432" s="2" t="s">
        <v>2840</v>
      </c>
      <c r="U432" t="s">
        <v>777</v>
      </c>
      <c r="AA432" t="s">
        <v>2841</v>
      </c>
    </row>
    <row r="433" spans="1:27" x14ac:dyDescent="0.25">
      <c r="A433" t="s">
        <v>2842</v>
      </c>
      <c r="B433" t="s">
        <v>2843</v>
      </c>
      <c r="C433" t="s">
        <v>29</v>
      </c>
      <c r="D433" t="s">
        <v>1085</v>
      </c>
      <c r="E433" t="s">
        <v>2623</v>
      </c>
      <c r="F433" t="s">
        <v>2787</v>
      </c>
      <c r="G433" t="s">
        <v>2788</v>
      </c>
      <c r="H433" t="str">
        <f>INDEX([1]妻子表!$A:$A,MATCH(F433,[1]妻子表!$B:$B,0))</f>
        <v>M001027W01</v>
      </c>
      <c r="I433" t="str">
        <f>VLOOKUP(H433,[1]妻子表!$A:$D,4,0)</f>
        <v>龙氏</v>
      </c>
      <c r="J433" t="s">
        <v>359</v>
      </c>
      <c r="AA433" t="s">
        <v>2678</v>
      </c>
    </row>
    <row r="434" spans="1:27" ht="47.25" customHeight="1" x14ac:dyDescent="0.25">
      <c r="A434" t="s">
        <v>2844</v>
      </c>
      <c r="B434" t="s">
        <v>2845</v>
      </c>
      <c r="C434" t="s">
        <v>29</v>
      </c>
      <c r="D434" t="s">
        <v>1085</v>
      </c>
      <c r="E434" t="s">
        <v>2623</v>
      </c>
      <c r="F434" t="s">
        <v>2787</v>
      </c>
      <c r="G434" t="s">
        <v>2788</v>
      </c>
      <c r="H434" t="str">
        <f>INDEX([1]妻子表!$A:$A,MATCH(F434,[1]妻子表!$B:$B,0))</f>
        <v>M001027W01</v>
      </c>
      <c r="I434" t="str">
        <f>VLOOKUP(H434,[1]妻子表!$A:$D,4,0)</f>
        <v>龙氏</v>
      </c>
      <c r="J434" t="s">
        <v>359</v>
      </c>
      <c r="K434" t="s">
        <v>2846</v>
      </c>
      <c r="M434" t="s">
        <v>2847</v>
      </c>
      <c r="N434" t="s">
        <v>2848</v>
      </c>
      <c r="O434" t="s">
        <v>2849</v>
      </c>
      <c r="P434" t="s">
        <v>169</v>
      </c>
      <c r="Q434" t="s">
        <v>2850</v>
      </c>
      <c r="R434" t="s">
        <v>1047</v>
      </c>
      <c r="S434" t="s">
        <v>2851</v>
      </c>
      <c r="T434" s="2" t="s">
        <v>2852</v>
      </c>
      <c r="U434" t="s">
        <v>2853</v>
      </c>
      <c r="Y434" t="s">
        <v>2854</v>
      </c>
      <c r="Z434" t="s">
        <v>2756</v>
      </c>
      <c r="AA434" t="s">
        <v>2855</v>
      </c>
    </row>
    <row r="435" spans="1:27" x14ac:dyDescent="0.25">
      <c r="A435" t="s">
        <v>2856</v>
      </c>
      <c r="B435" t="s">
        <v>2857</v>
      </c>
      <c r="C435" t="s">
        <v>29</v>
      </c>
      <c r="D435" t="s">
        <v>1085</v>
      </c>
      <c r="E435" t="s">
        <v>2623</v>
      </c>
      <c r="F435" t="s">
        <v>2797</v>
      </c>
      <c r="G435" t="s">
        <v>2798</v>
      </c>
      <c r="H435" t="str">
        <f>INDEX([1]妻子表!$A:$A,MATCH(F435,[1]妻子表!$B:$B,0))</f>
        <v>M001028W01</v>
      </c>
      <c r="I435" t="str">
        <f>VLOOKUP(H435,[1]妻子表!$A:$D,4,0)</f>
        <v>刘氏</v>
      </c>
      <c r="J435" t="s">
        <v>359</v>
      </c>
      <c r="K435" t="s">
        <v>2858</v>
      </c>
      <c r="L435" t="s">
        <v>1508</v>
      </c>
      <c r="M435" t="s">
        <v>2859</v>
      </c>
      <c r="N435" t="s">
        <v>1044</v>
      </c>
      <c r="O435" t="s">
        <v>2860</v>
      </c>
      <c r="P435" t="s">
        <v>497</v>
      </c>
      <c r="Q435" t="s">
        <v>2861</v>
      </c>
      <c r="R435" t="s">
        <v>1518</v>
      </c>
      <c r="S435" t="s">
        <v>2862</v>
      </c>
      <c r="T435" s="2" t="s">
        <v>2863</v>
      </c>
      <c r="U435" t="s">
        <v>95</v>
      </c>
      <c r="AA435" t="s">
        <v>2864</v>
      </c>
    </row>
    <row r="436" spans="1:27" x14ac:dyDescent="0.25">
      <c r="A436" t="s">
        <v>2865</v>
      </c>
      <c r="B436" t="s">
        <v>2866</v>
      </c>
      <c r="C436" t="s">
        <v>29</v>
      </c>
      <c r="D436" t="s">
        <v>1085</v>
      </c>
      <c r="E436" t="s">
        <v>2623</v>
      </c>
      <c r="F436" t="s">
        <v>2797</v>
      </c>
      <c r="G436" t="s">
        <v>2798</v>
      </c>
      <c r="H436" t="str">
        <f>INDEX([1]妻子表!$A:$A,MATCH(F436,[1]妻子表!$B:$B,0))</f>
        <v>M001028W01</v>
      </c>
      <c r="I436" t="str">
        <f>VLOOKUP(H436,[1]妻子表!$A:$D,4,0)</f>
        <v>刘氏</v>
      </c>
      <c r="J436" t="s">
        <v>359</v>
      </c>
      <c r="K436" t="s">
        <v>2789</v>
      </c>
      <c r="L436" t="s">
        <v>1075</v>
      </c>
      <c r="M436" t="s">
        <v>2867</v>
      </c>
      <c r="N436" t="s">
        <v>1263</v>
      </c>
      <c r="O436" t="s">
        <v>2868</v>
      </c>
      <c r="P436" t="s">
        <v>601</v>
      </c>
      <c r="Q436" t="s">
        <v>2869</v>
      </c>
      <c r="R436" t="s">
        <v>2870</v>
      </c>
      <c r="S436" t="s">
        <v>2871</v>
      </c>
      <c r="T436" s="2" t="s">
        <v>2872</v>
      </c>
      <c r="U436" t="s">
        <v>38</v>
      </c>
      <c r="Y436" t="s">
        <v>1423</v>
      </c>
      <c r="AA436" t="s">
        <v>2873</v>
      </c>
    </row>
    <row r="437" spans="1:27" x14ac:dyDescent="0.25">
      <c r="A437" t="s">
        <v>2874</v>
      </c>
      <c r="B437" t="s">
        <v>2875</v>
      </c>
      <c r="C437" t="s">
        <v>29</v>
      </c>
      <c r="D437" t="s">
        <v>1085</v>
      </c>
      <c r="E437" t="s">
        <v>2623</v>
      </c>
      <c r="F437" t="s">
        <v>2797</v>
      </c>
      <c r="G437" t="s">
        <v>2798</v>
      </c>
      <c r="H437" t="str">
        <f>INDEX([1]妻子表!$A:$A,MATCH(F437,[1]妻子表!$B:$B,0))</f>
        <v>M001028W01</v>
      </c>
      <c r="I437" t="str">
        <f>VLOOKUP(H437,[1]妻子表!$A:$D,4,0)</f>
        <v>刘氏</v>
      </c>
      <c r="J437" t="s">
        <v>359</v>
      </c>
      <c r="K437" t="s">
        <v>2876</v>
      </c>
      <c r="T437" s="2" t="s">
        <v>2877</v>
      </c>
      <c r="U437" t="s">
        <v>174</v>
      </c>
      <c r="AA437" t="s">
        <v>2878</v>
      </c>
    </row>
    <row r="438" spans="1:27" x14ac:dyDescent="0.25">
      <c r="A438" t="s">
        <v>2879</v>
      </c>
      <c r="B438" t="s">
        <v>2880</v>
      </c>
      <c r="C438" t="s">
        <v>29</v>
      </c>
      <c r="D438" t="s">
        <v>1085</v>
      </c>
      <c r="E438" t="s">
        <v>2623</v>
      </c>
      <c r="F438" t="s">
        <v>2797</v>
      </c>
      <c r="G438" t="s">
        <v>2798</v>
      </c>
      <c r="H438" t="str">
        <f>INDEX([1]妻子表!$A:$A,MATCH(F438,[1]妻子表!$B:$B,0))</f>
        <v>M001028W01</v>
      </c>
      <c r="I438" t="str">
        <f>VLOOKUP(H438,[1]妻子表!$A:$D,4,0)</f>
        <v>刘氏</v>
      </c>
      <c r="J438" t="s">
        <v>359</v>
      </c>
      <c r="K438" t="s">
        <v>2881</v>
      </c>
      <c r="L438" t="s">
        <v>696</v>
      </c>
      <c r="M438" t="s">
        <v>2882</v>
      </c>
      <c r="N438" t="s">
        <v>1587</v>
      </c>
      <c r="O438" t="s">
        <v>2883</v>
      </c>
      <c r="P438" t="s">
        <v>315</v>
      </c>
      <c r="Q438" t="s">
        <v>2884</v>
      </c>
      <c r="R438" t="s">
        <v>2885</v>
      </c>
      <c r="S438" t="s">
        <v>2886</v>
      </c>
      <c r="T438" s="2" t="s">
        <v>2887</v>
      </c>
      <c r="U438" t="s">
        <v>38</v>
      </c>
      <c r="Y438" t="s">
        <v>2888</v>
      </c>
      <c r="AA438" t="s">
        <v>2889</v>
      </c>
    </row>
    <row r="439" spans="1:27" x14ac:dyDescent="0.25">
      <c r="A439" t="s">
        <v>2890</v>
      </c>
      <c r="B439" t="s">
        <v>2891</v>
      </c>
      <c r="C439" t="s">
        <v>29</v>
      </c>
      <c r="D439" t="s">
        <v>1085</v>
      </c>
      <c r="E439" t="s">
        <v>2623</v>
      </c>
      <c r="F439" t="s">
        <v>2806</v>
      </c>
      <c r="G439" t="s">
        <v>2807</v>
      </c>
      <c r="H439" t="str">
        <f>INDEX([1]妻子表!$A:$A,MATCH(F439,[1]妻子表!$B:$B,0))</f>
        <v>M001029W01</v>
      </c>
      <c r="I439" t="str">
        <f>VLOOKUP(H439,[1]妻子表!$A:$D,4,0)</f>
        <v>刘氏</v>
      </c>
      <c r="J439" t="s">
        <v>359</v>
      </c>
      <c r="K439" t="s">
        <v>2651</v>
      </c>
      <c r="L439" t="s">
        <v>2482</v>
      </c>
      <c r="M439" t="s">
        <v>2892</v>
      </c>
      <c r="N439" t="s">
        <v>790</v>
      </c>
      <c r="O439" t="s">
        <v>2893</v>
      </c>
      <c r="P439" t="s">
        <v>407</v>
      </c>
      <c r="Q439" t="s">
        <v>2894</v>
      </c>
      <c r="R439" t="s">
        <v>1678</v>
      </c>
      <c r="S439" t="s">
        <v>2895</v>
      </c>
      <c r="T439" s="2" t="s">
        <v>2896</v>
      </c>
      <c r="U439" t="s">
        <v>174</v>
      </c>
      <c r="AA439" t="s">
        <v>2897</v>
      </c>
    </row>
    <row r="440" spans="1:27" x14ac:dyDescent="0.25">
      <c r="A440" t="s">
        <v>2898</v>
      </c>
      <c r="B440" t="s">
        <v>2899</v>
      </c>
      <c r="C440" t="s">
        <v>29</v>
      </c>
      <c r="D440" t="s">
        <v>1085</v>
      </c>
      <c r="E440" t="s">
        <v>2623</v>
      </c>
      <c r="F440" t="s">
        <v>2806</v>
      </c>
      <c r="G440" t="s">
        <v>2807</v>
      </c>
      <c r="H440" t="str">
        <f>INDEX([1]妻子表!$A:$A,MATCH(F440,[1]妻子表!$B:$B,0))</f>
        <v>M001029W01</v>
      </c>
      <c r="I440" t="str">
        <f>VLOOKUP(H440,[1]妻子表!$A:$D,4,0)</f>
        <v>刘氏</v>
      </c>
      <c r="J440" t="s">
        <v>359</v>
      </c>
      <c r="K440" t="s">
        <v>2900</v>
      </c>
      <c r="L440" t="s">
        <v>180</v>
      </c>
      <c r="M440" t="s">
        <v>2901</v>
      </c>
      <c r="N440" t="s">
        <v>984</v>
      </c>
      <c r="O440" t="s">
        <v>2902</v>
      </c>
      <c r="P440" t="s">
        <v>184</v>
      </c>
      <c r="Q440" t="s">
        <v>2903</v>
      </c>
      <c r="R440" t="s">
        <v>1687</v>
      </c>
      <c r="S440" t="s">
        <v>187</v>
      </c>
      <c r="T440" s="2" t="s">
        <v>2904</v>
      </c>
      <c r="U440" t="s">
        <v>777</v>
      </c>
      <c r="AA440" t="s">
        <v>2905</v>
      </c>
    </row>
    <row r="441" spans="1:27" ht="31.5" customHeight="1" x14ac:dyDescent="0.25">
      <c r="A441" t="s">
        <v>2906</v>
      </c>
      <c r="B441" t="s">
        <v>2907</v>
      </c>
      <c r="C441" t="s">
        <v>29</v>
      </c>
      <c r="D441" t="s">
        <v>1085</v>
      </c>
      <c r="E441" t="s">
        <v>2623</v>
      </c>
      <c r="F441" t="s">
        <v>2818</v>
      </c>
      <c r="G441" t="s">
        <v>2819</v>
      </c>
      <c r="H441" t="str">
        <f>INDEX([1]妻子表!$A:$A,MATCH(F441,[1]妻子表!$B:$B,0))</f>
        <v>M001031W01</v>
      </c>
      <c r="I441" t="str">
        <f>VLOOKUP(H441,[1]妻子表!$A:$D,4,0)</f>
        <v>消氏</v>
      </c>
      <c r="J441" t="s">
        <v>359</v>
      </c>
      <c r="K441" t="s">
        <v>2908</v>
      </c>
      <c r="M441" t="s">
        <v>2909</v>
      </c>
      <c r="N441" t="s">
        <v>2910</v>
      </c>
      <c r="O441" t="s">
        <v>2911</v>
      </c>
      <c r="P441" t="s">
        <v>108</v>
      </c>
      <c r="T441" s="2" t="s">
        <v>2912</v>
      </c>
      <c r="U441" t="s">
        <v>2913</v>
      </c>
      <c r="Y441" t="s">
        <v>2888</v>
      </c>
      <c r="AA441" t="s">
        <v>2914</v>
      </c>
    </row>
    <row r="442" spans="1:27" x14ac:dyDescent="0.25">
      <c r="A442" t="s">
        <v>2915</v>
      </c>
      <c r="B442" t="s">
        <v>2916</v>
      </c>
      <c r="C442" t="s">
        <v>29</v>
      </c>
      <c r="D442" t="s">
        <v>1085</v>
      </c>
      <c r="E442" t="s">
        <v>2623</v>
      </c>
      <c r="F442" t="s">
        <v>2838</v>
      </c>
      <c r="G442" t="s">
        <v>2839</v>
      </c>
      <c r="H442" t="str">
        <f>INDEX([1]妻子表!$A:$A,MATCH(F442,[1]妻子表!$B:$B,0))</f>
        <v>M001034W01</v>
      </c>
      <c r="I442" t="str">
        <f>VLOOKUP(H442,[1]妻子表!$A:$D,4,0)</f>
        <v>某氏</v>
      </c>
      <c r="J442" t="s">
        <v>359</v>
      </c>
    </row>
    <row r="443" spans="1:27" x14ac:dyDescent="0.25">
      <c r="A443" t="s">
        <v>2917</v>
      </c>
      <c r="B443" t="s">
        <v>2918</v>
      </c>
      <c r="C443" t="s">
        <v>29</v>
      </c>
      <c r="D443" t="s">
        <v>870</v>
      </c>
      <c r="E443" t="s">
        <v>2623</v>
      </c>
      <c r="F443" t="s">
        <v>2844</v>
      </c>
      <c r="G443" t="s">
        <v>2845</v>
      </c>
      <c r="H443" t="str">
        <f>INDEX([1]妻子表!$A:$A,MATCH(F443,[1]妻子表!$B:$B,0))</f>
        <v>M001036W01</v>
      </c>
      <c r="I443" t="str">
        <f>VLOOKUP(H443,[1]妻子表!$A:$D,4,0)</f>
        <v>肖氏</v>
      </c>
      <c r="J443" t="s">
        <v>359</v>
      </c>
      <c r="K443" t="s">
        <v>2919</v>
      </c>
      <c r="L443" t="s">
        <v>165</v>
      </c>
      <c r="M443" t="s">
        <v>2920</v>
      </c>
      <c r="N443" t="s">
        <v>2811</v>
      </c>
      <c r="O443" t="s">
        <v>2921</v>
      </c>
      <c r="P443" t="s">
        <v>169</v>
      </c>
      <c r="Q443" t="s">
        <v>2922</v>
      </c>
      <c r="R443" t="s">
        <v>1740</v>
      </c>
      <c r="S443" t="s">
        <v>2923</v>
      </c>
      <c r="T443" s="2" t="s">
        <v>2924</v>
      </c>
      <c r="U443" t="s">
        <v>38</v>
      </c>
      <c r="AA443" t="s">
        <v>2925</v>
      </c>
    </row>
    <row r="444" spans="1:27" ht="31.5" customHeight="1" x14ac:dyDescent="0.25">
      <c r="A444" t="s">
        <v>2926</v>
      </c>
      <c r="B444" t="s">
        <v>2927</v>
      </c>
      <c r="C444" t="s">
        <v>29</v>
      </c>
      <c r="D444" t="s">
        <v>870</v>
      </c>
      <c r="E444" t="s">
        <v>2623</v>
      </c>
      <c r="F444" t="s">
        <v>2844</v>
      </c>
      <c r="G444" t="s">
        <v>2845</v>
      </c>
      <c r="H444" t="str">
        <f>INDEX([1]妻子表!$A:$A,MATCH(F444,[1]妻子表!$B:$B,0))</f>
        <v>M001036W01</v>
      </c>
      <c r="I444" t="str">
        <f>VLOOKUP(H444,[1]妻子表!$A:$D,4,0)</f>
        <v>肖氏</v>
      </c>
      <c r="J444" t="s">
        <v>359</v>
      </c>
      <c r="K444" t="s">
        <v>2928</v>
      </c>
      <c r="L444" t="s">
        <v>417</v>
      </c>
      <c r="M444" t="s">
        <v>2929</v>
      </c>
      <c r="N444" t="s">
        <v>1252</v>
      </c>
      <c r="O444" t="s">
        <v>2930</v>
      </c>
      <c r="P444" t="s">
        <v>184</v>
      </c>
      <c r="Q444" t="s">
        <v>2931</v>
      </c>
      <c r="R444" t="s">
        <v>2283</v>
      </c>
      <c r="S444" t="s">
        <v>2932</v>
      </c>
      <c r="T444" s="2" t="s">
        <v>2933</v>
      </c>
      <c r="U444" t="s">
        <v>2934</v>
      </c>
      <c r="Y444" t="s">
        <v>2854</v>
      </c>
      <c r="AA444" t="s">
        <v>2935</v>
      </c>
    </row>
    <row r="445" spans="1:27" x14ac:dyDescent="0.25">
      <c r="A445" t="s">
        <v>2936</v>
      </c>
      <c r="B445" t="s">
        <v>2937</v>
      </c>
      <c r="C445" t="s">
        <v>29</v>
      </c>
      <c r="D445" t="s">
        <v>870</v>
      </c>
      <c r="E445" t="s">
        <v>2623</v>
      </c>
      <c r="F445" t="s">
        <v>2844</v>
      </c>
      <c r="G445" t="s">
        <v>2845</v>
      </c>
      <c r="H445" t="str">
        <f>INDEX([1]妻子表!$A:$A,MATCH(F445,[1]妻子表!$B:$B,0))</f>
        <v>M001036W01</v>
      </c>
      <c r="I445" t="str">
        <f>VLOOKUP(H445,[1]妻子表!$A:$D,4,0)</f>
        <v>肖氏</v>
      </c>
      <c r="J445" t="s">
        <v>359</v>
      </c>
      <c r="K445" t="s">
        <v>2938</v>
      </c>
      <c r="L445" t="s">
        <v>180</v>
      </c>
      <c r="M445" t="s">
        <v>2939</v>
      </c>
      <c r="N445" t="s">
        <v>1658</v>
      </c>
      <c r="O445" t="s">
        <v>2940</v>
      </c>
      <c r="P445" t="s">
        <v>257</v>
      </c>
      <c r="Q445" t="s">
        <v>2941</v>
      </c>
      <c r="R445" t="s">
        <v>2942</v>
      </c>
      <c r="S445" t="s">
        <v>2943</v>
      </c>
      <c r="T445" s="2" t="s">
        <v>2944</v>
      </c>
      <c r="U445" t="s">
        <v>245</v>
      </c>
      <c r="Y445" t="s">
        <v>1423</v>
      </c>
      <c r="AA445" t="s">
        <v>2945</v>
      </c>
    </row>
    <row r="446" spans="1:27" x14ac:dyDescent="0.25">
      <c r="A446" t="s">
        <v>2946</v>
      </c>
      <c r="B446" t="s">
        <v>2947</v>
      </c>
      <c r="C446" t="s">
        <v>29</v>
      </c>
      <c r="D446" t="s">
        <v>870</v>
      </c>
      <c r="E446" t="s">
        <v>2623</v>
      </c>
      <c r="F446" t="s">
        <v>2844</v>
      </c>
      <c r="G446" t="s">
        <v>2845</v>
      </c>
      <c r="H446" t="str">
        <f>INDEX([1]妻子表!$A:$A,MATCH(F446,[1]妻子表!$B:$B,0))</f>
        <v>M001036W01</v>
      </c>
      <c r="I446" t="str">
        <f>VLOOKUP(H446,[1]妻子表!$A:$D,4,0)</f>
        <v>肖氏</v>
      </c>
      <c r="J446" t="s">
        <v>359</v>
      </c>
      <c r="K446" t="s">
        <v>2948</v>
      </c>
      <c r="M446" t="s">
        <v>2949</v>
      </c>
      <c r="N446" t="s">
        <v>1725</v>
      </c>
      <c r="O446" t="s">
        <v>2950</v>
      </c>
      <c r="P446" t="s">
        <v>224</v>
      </c>
      <c r="T446" s="2" t="s">
        <v>2951</v>
      </c>
      <c r="U446" t="s">
        <v>38</v>
      </c>
      <c r="Y446" t="s">
        <v>1423</v>
      </c>
      <c r="AA446" t="s">
        <v>2952</v>
      </c>
    </row>
    <row r="447" spans="1:27" ht="31.5" customHeight="1" x14ac:dyDescent="0.25">
      <c r="A447" t="s">
        <v>2953</v>
      </c>
      <c r="B447" t="s">
        <v>2954</v>
      </c>
      <c r="C447" t="s">
        <v>29</v>
      </c>
      <c r="D447" t="s">
        <v>870</v>
      </c>
      <c r="E447" t="s">
        <v>2623</v>
      </c>
      <c r="F447" t="s">
        <v>2844</v>
      </c>
      <c r="G447" t="s">
        <v>2845</v>
      </c>
      <c r="H447" t="str">
        <f>INDEX([1]妻子表!$A:$A,MATCH(F447,[1]妻子表!$B:$B,0))</f>
        <v>M001036W01</v>
      </c>
      <c r="I447" t="str">
        <f>VLOOKUP(H447,[1]妻子表!$A:$D,4,0)</f>
        <v>肖氏</v>
      </c>
      <c r="J447" t="s">
        <v>359</v>
      </c>
      <c r="K447" t="s">
        <v>2955</v>
      </c>
      <c r="L447" t="s">
        <v>1864</v>
      </c>
      <c r="M447" t="s">
        <v>2956</v>
      </c>
      <c r="N447" t="s">
        <v>962</v>
      </c>
      <c r="O447" t="s">
        <v>2957</v>
      </c>
      <c r="P447" t="s">
        <v>257</v>
      </c>
      <c r="Q447" t="s">
        <v>2958</v>
      </c>
      <c r="R447" t="s">
        <v>1574</v>
      </c>
      <c r="S447" t="s">
        <v>2959</v>
      </c>
      <c r="T447" s="2" t="s">
        <v>2960</v>
      </c>
      <c r="U447" t="s">
        <v>2961</v>
      </c>
      <c r="Y447" t="s">
        <v>2962</v>
      </c>
      <c r="AA447" t="s">
        <v>2963</v>
      </c>
    </row>
    <row r="448" spans="1:27" x14ac:dyDescent="0.25">
      <c r="A448" t="s">
        <v>2964</v>
      </c>
      <c r="B448" t="s">
        <v>2965</v>
      </c>
      <c r="C448" t="s">
        <v>29</v>
      </c>
      <c r="D448" t="s">
        <v>870</v>
      </c>
      <c r="E448" t="s">
        <v>2623</v>
      </c>
      <c r="F448" t="s">
        <v>2844</v>
      </c>
      <c r="G448" t="s">
        <v>2845</v>
      </c>
      <c r="H448" t="str">
        <f>INDEX([1]妻子表!$A:$A,MATCH(F448,[1]妻子表!$B:$B,0))</f>
        <v>M001036W01</v>
      </c>
      <c r="I448" t="str">
        <f>VLOOKUP(H448,[1]妻子表!$A:$D,4,0)</f>
        <v>肖氏</v>
      </c>
      <c r="J448" t="s">
        <v>359</v>
      </c>
      <c r="K448" t="s">
        <v>2966</v>
      </c>
      <c r="O448" t="s">
        <v>2967</v>
      </c>
      <c r="T448" s="2" t="s">
        <v>2968</v>
      </c>
      <c r="U448" t="s">
        <v>138</v>
      </c>
      <c r="AA448" t="s">
        <v>2969</v>
      </c>
    </row>
    <row r="449" spans="1:27" ht="31.5" customHeight="1" x14ac:dyDescent="0.25">
      <c r="A449" t="s">
        <v>2970</v>
      </c>
      <c r="B449" t="s">
        <v>2971</v>
      </c>
      <c r="C449" t="s">
        <v>29</v>
      </c>
      <c r="D449" t="s">
        <v>870</v>
      </c>
      <c r="E449" t="s">
        <v>2623</v>
      </c>
      <c r="F449" t="s">
        <v>2844</v>
      </c>
      <c r="G449" t="s">
        <v>2845</v>
      </c>
      <c r="H449" t="str">
        <f>INDEX([1]妻子表!$A:$A,MATCH(F449,[1]妻子表!$B:$B,0))</f>
        <v>M001036W01</v>
      </c>
      <c r="I449" t="str">
        <f>VLOOKUP(H449,[1]妻子表!$A:$D,4,0)</f>
        <v>肖氏</v>
      </c>
      <c r="J449" t="s">
        <v>359</v>
      </c>
      <c r="M449" t="s">
        <v>2972</v>
      </c>
      <c r="N449" t="s">
        <v>1047</v>
      </c>
      <c r="O449" t="s">
        <v>2973</v>
      </c>
      <c r="P449" t="s">
        <v>200</v>
      </c>
      <c r="T449" s="2" t="s">
        <v>2974</v>
      </c>
      <c r="U449" t="s">
        <v>2975</v>
      </c>
      <c r="AA449" t="s">
        <v>2976</v>
      </c>
    </row>
    <row r="450" spans="1:27" x14ac:dyDescent="0.25">
      <c r="A450" t="s">
        <v>2977</v>
      </c>
      <c r="B450" t="s">
        <v>2978</v>
      </c>
      <c r="C450" t="s">
        <v>29</v>
      </c>
      <c r="D450" t="s">
        <v>870</v>
      </c>
      <c r="E450" t="s">
        <v>2623</v>
      </c>
      <c r="F450" t="s">
        <v>2844</v>
      </c>
      <c r="G450" t="s">
        <v>2845</v>
      </c>
      <c r="H450" t="str">
        <f>INDEX([1]妻子表!$A:$A,MATCH(F450,[1]妻子表!$B:$B,0))</f>
        <v>M001036W01</v>
      </c>
      <c r="I450" t="str">
        <f>VLOOKUP(H450,[1]妻子表!$A:$D,4,0)</f>
        <v>肖氏</v>
      </c>
      <c r="J450" t="s">
        <v>359</v>
      </c>
      <c r="M450" t="s">
        <v>2979</v>
      </c>
      <c r="N450" t="s">
        <v>2885</v>
      </c>
      <c r="O450" t="s">
        <v>2980</v>
      </c>
      <c r="P450" t="s">
        <v>169</v>
      </c>
      <c r="T450" s="2" t="s">
        <v>2981</v>
      </c>
      <c r="U450" t="s">
        <v>38</v>
      </c>
      <c r="Y450" t="s">
        <v>1423</v>
      </c>
      <c r="AA450" t="s">
        <v>2982</v>
      </c>
    </row>
    <row r="451" spans="1:27" x14ac:dyDescent="0.25">
      <c r="A451" t="s">
        <v>2983</v>
      </c>
      <c r="B451" t="s">
        <v>2984</v>
      </c>
      <c r="C451" t="s">
        <v>29</v>
      </c>
      <c r="D451" t="s">
        <v>870</v>
      </c>
      <c r="E451" t="s">
        <v>2623</v>
      </c>
      <c r="F451" t="s">
        <v>2856</v>
      </c>
      <c r="G451" t="s">
        <v>2857</v>
      </c>
      <c r="H451" t="str">
        <f>INDEX([1]妻子表!$A:$A,MATCH(F451,[1]妻子表!$B:$B,0))</f>
        <v>M001037W01</v>
      </c>
      <c r="I451" t="str">
        <f>VLOOKUP(H451,[1]妻子表!$A:$D,4,0)</f>
        <v>彭氏</v>
      </c>
      <c r="J451" t="s">
        <v>359</v>
      </c>
      <c r="K451" t="s">
        <v>2985</v>
      </c>
      <c r="L451" t="s">
        <v>1271</v>
      </c>
      <c r="M451" t="s">
        <v>2986</v>
      </c>
      <c r="N451" t="s">
        <v>1390</v>
      </c>
      <c r="O451" t="s">
        <v>2987</v>
      </c>
      <c r="P451" t="s">
        <v>224</v>
      </c>
      <c r="Q451" t="s">
        <v>2988</v>
      </c>
      <c r="R451" t="s">
        <v>1868</v>
      </c>
      <c r="S451" t="s">
        <v>2989</v>
      </c>
      <c r="T451" s="2" t="s">
        <v>2990</v>
      </c>
      <c r="U451" t="s">
        <v>189</v>
      </c>
      <c r="AA451" t="s">
        <v>2991</v>
      </c>
    </row>
    <row r="452" spans="1:27" ht="31.5" customHeight="1" x14ac:dyDescent="0.25">
      <c r="A452" t="s">
        <v>2992</v>
      </c>
      <c r="B452" t="s">
        <v>2993</v>
      </c>
      <c r="C452" t="s">
        <v>29</v>
      </c>
      <c r="D452" t="s">
        <v>870</v>
      </c>
      <c r="E452" t="s">
        <v>2623</v>
      </c>
      <c r="F452" t="s">
        <v>2856</v>
      </c>
      <c r="G452" t="s">
        <v>2857</v>
      </c>
      <c r="H452" t="str">
        <f>INDEX([1]妻子表!$A:$A,MATCH(F452,[1]妻子表!$B:$B,0))</f>
        <v>M001037W01</v>
      </c>
      <c r="I452" t="str">
        <f>VLOOKUP(H452,[1]妻子表!$A:$D,4,0)</f>
        <v>彭氏</v>
      </c>
      <c r="J452" t="s">
        <v>359</v>
      </c>
      <c r="K452" t="s">
        <v>2994</v>
      </c>
      <c r="L452" t="s">
        <v>708</v>
      </c>
      <c r="M452" t="s">
        <v>2995</v>
      </c>
      <c r="N452" t="s">
        <v>1003</v>
      </c>
      <c r="O452" t="s">
        <v>2996</v>
      </c>
      <c r="P452" t="s">
        <v>108</v>
      </c>
      <c r="Q452" t="s">
        <v>2997</v>
      </c>
      <c r="R452" t="s">
        <v>2998</v>
      </c>
      <c r="S452" t="s">
        <v>2999</v>
      </c>
      <c r="T452" s="2" t="s">
        <v>3000</v>
      </c>
      <c r="U452" t="s">
        <v>3001</v>
      </c>
      <c r="Y452" t="s">
        <v>1423</v>
      </c>
      <c r="AA452" t="s">
        <v>3002</v>
      </c>
    </row>
    <row r="453" spans="1:27" x14ac:dyDescent="0.25">
      <c r="A453" t="s">
        <v>3003</v>
      </c>
      <c r="B453" t="s">
        <v>3004</v>
      </c>
      <c r="C453" t="s">
        <v>29</v>
      </c>
      <c r="D453" t="s">
        <v>870</v>
      </c>
      <c r="E453" t="s">
        <v>2623</v>
      </c>
      <c r="F453" t="s">
        <v>2856</v>
      </c>
      <c r="G453" t="s">
        <v>2857</v>
      </c>
      <c r="H453" t="str">
        <f>INDEX([1]妻子表!$A:$A,MATCH(F453,[1]妻子表!$B:$B,0))</f>
        <v>M001037W01</v>
      </c>
      <c r="I453" t="str">
        <f>VLOOKUP(H453,[1]妻子表!$A:$D,4,0)</f>
        <v>彭氏</v>
      </c>
      <c r="J453" t="s">
        <v>359</v>
      </c>
      <c r="K453" t="s">
        <v>3005</v>
      </c>
      <c r="L453" t="s">
        <v>1055</v>
      </c>
      <c r="M453" t="s">
        <v>3006</v>
      </c>
      <c r="N453" t="s">
        <v>1090</v>
      </c>
      <c r="O453" t="s">
        <v>3007</v>
      </c>
      <c r="P453" t="s">
        <v>497</v>
      </c>
      <c r="Q453" t="s">
        <v>3008</v>
      </c>
      <c r="R453" t="s">
        <v>1790</v>
      </c>
      <c r="S453" t="s">
        <v>3009</v>
      </c>
      <c r="T453" s="2" t="s">
        <v>3010</v>
      </c>
      <c r="U453" t="s">
        <v>2071</v>
      </c>
      <c r="AA453" t="s">
        <v>3011</v>
      </c>
    </row>
    <row r="454" spans="1:27" ht="31.5" customHeight="1" x14ac:dyDescent="0.25">
      <c r="A454" t="s">
        <v>3012</v>
      </c>
      <c r="B454" t="s">
        <v>3013</v>
      </c>
      <c r="C454" t="s">
        <v>29</v>
      </c>
      <c r="D454" t="s">
        <v>870</v>
      </c>
      <c r="E454" t="s">
        <v>2623</v>
      </c>
      <c r="F454" t="s">
        <v>2865</v>
      </c>
      <c r="G454" t="s">
        <v>2866</v>
      </c>
      <c r="H454" t="str">
        <f>INDEX([1]妻子表!$A:$A,MATCH(F454,[1]妻子表!$B:$B,0))</f>
        <v>M001038W01</v>
      </c>
      <c r="I454" t="str">
        <f>VLOOKUP(H454,[1]妻子表!$A:$D,4,0)</f>
        <v>王氏</v>
      </c>
      <c r="J454" t="s">
        <v>359</v>
      </c>
      <c r="K454" t="s">
        <v>1138</v>
      </c>
      <c r="L454" t="s">
        <v>1228</v>
      </c>
      <c r="M454" t="s">
        <v>3014</v>
      </c>
      <c r="N454" t="s">
        <v>1230</v>
      </c>
      <c r="O454" t="s">
        <v>3015</v>
      </c>
      <c r="P454" t="s">
        <v>315</v>
      </c>
      <c r="Q454" t="s">
        <v>3016</v>
      </c>
      <c r="R454" t="s">
        <v>1233</v>
      </c>
      <c r="S454" t="s">
        <v>3017</v>
      </c>
      <c r="T454" s="2" t="s">
        <v>3018</v>
      </c>
      <c r="U454" t="s">
        <v>3019</v>
      </c>
      <c r="Y454" t="s">
        <v>1423</v>
      </c>
      <c r="AA454" t="s">
        <v>3020</v>
      </c>
    </row>
    <row r="455" spans="1:27" x14ac:dyDescent="0.25">
      <c r="A455" t="s">
        <v>3021</v>
      </c>
      <c r="B455" t="s">
        <v>3022</v>
      </c>
      <c r="C455" t="s">
        <v>29</v>
      </c>
      <c r="D455" t="s">
        <v>870</v>
      </c>
      <c r="E455" t="s">
        <v>2623</v>
      </c>
      <c r="F455" t="s">
        <v>2865</v>
      </c>
      <c r="G455" t="s">
        <v>2866</v>
      </c>
      <c r="H455" t="str">
        <f>INDEX([1]妻子表!$A:$A,MATCH(F455,[1]妻子表!$B:$B,0))</f>
        <v>M001038W01</v>
      </c>
      <c r="I455" t="str">
        <f>VLOOKUP(H455,[1]妻子表!$A:$D,4,0)</f>
        <v>王氏</v>
      </c>
      <c r="J455" t="s">
        <v>359</v>
      </c>
      <c r="K455" t="s">
        <v>2985</v>
      </c>
      <c r="L455" t="s">
        <v>361</v>
      </c>
      <c r="M455" t="s">
        <v>3023</v>
      </c>
      <c r="N455" t="s">
        <v>3024</v>
      </c>
      <c r="O455" t="s">
        <v>3025</v>
      </c>
      <c r="P455" t="s">
        <v>257</v>
      </c>
      <c r="Q455" t="s">
        <v>3026</v>
      </c>
      <c r="R455" t="s">
        <v>1740</v>
      </c>
      <c r="S455" t="s">
        <v>3027</v>
      </c>
      <c r="T455" s="2" t="s">
        <v>3028</v>
      </c>
      <c r="U455" t="s">
        <v>174</v>
      </c>
      <c r="AA455" t="s">
        <v>3029</v>
      </c>
    </row>
    <row r="456" spans="1:27" x14ac:dyDescent="0.25">
      <c r="A456" t="s">
        <v>3030</v>
      </c>
      <c r="B456" t="s">
        <v>3031</v>
      </c>
      <c r="C456" t="s">
        <v>29</v>
      </c>
      <c r="D456" t="s">
        <v>870</v>
      </c>
      <c r="E456" t="s">
        <v>2623</v>
      </c>
      <c r="F456" t="s">
        <v>2874</v>
      </c>
      <c r="G456" t="s">
        <v>2875</v>
      </c>
      <c r="H456" t="str">
        <f>INDEX([1]妻子表!$A:$A,MATCH(F456,[1]妻子表!$B:$B,0))</f>
        <v>M001039W01</v>
      </c>
      <c r="I456" t="str">
        <f>VLOOKUP(H456,[1]妻子表!$A:$D,4,0)</f>
        <v>刘氏</v>
      </c>
      <c r="J456" t="s">
        <v>359</v>
      </c>
      <c r="AA456" t="s">
        <v>1760</v>
      </c>
    </row>
    <row r="457" spans="1:27" x14ac:dyDescent="0.25">
      <c r="A457" t="s">
        <v>3032</v>
      </c>
      <c r="B457" t="s">
        <v>3033</v>
      </c>
      <c r="C457" t="s">
        <v>29</v>
      </c>
      <c r="D457" t="s">
        <v>870</v>
      </c>
      <c r="E457" t="s">
        <v>2623</v>
      </c>
      <c r="F457" t="s">
        <v>2879</v>
      </c>
      <c r="G457" t="s">
        <v>2880</v>
      </c>
      <c r="H457" t="str">
        <f>INDEX([1]妻子表!$A:$A,MATCH(F457,[1]妻子表!$B:$B,0))</f>
        <v>M001040W01</v>
      </c>
      <c r="I457" t="str">
        <f>VLOOKUP(H457,[1]妻子表!$A:$D,4,0)</f>
        <v>王氏</v>
      </c>
      <c r="J457" t="s">
        <v>359</v>
      </c>
      <c r="K457" t="s">
        <v>2789</v>
      </c>
      <c r="L457" t="s">
        <v>1228</v>
      </c>
      <c r="M457" t="s">
        <v>3034</v>
      </c>
      <c r="N457" t="s">
        <v>2057</v>
      </c>
      <c r="O457" t="s">
        <v>3035</v>
      </c>
      <c r="P457" t="s">
        <v>407</v>
      </c>
      <c r="Q457" t="s">
        <v>3036</v>
      </c>
      <c r="R457" t="s">
        <v>3037</v>
      </c>
      <c r="S457" t="s">
        <v>3038</v>
      </c>
      <c r="T457" s="2" t="s">
        <v>3039</v>
      </c>
      <c r="U457" t="s">
        <v>174</v>
      </c>
      <c r="AA457" t="s">
        <v>3040</v>
      </c>
    </row>
    <row r="458" spans="1:27" x14ac:dyDescent="0.25">
      <c r="A458" t="s">
        <v>3041</v>
      </c>
      <c r="B458" t="s">
        <v>3042</v>
      </c>
      <c r="C458" t="s">
        <v>29</v>
      </c>
      <c r="D458" t="s">
        <v>870</v>
      </c>
      <c r="E458" t="s">
        <v>2623</v>
      </c>
      <c r="F458" t="s">
        <v>2879</v>
      </c>
      <c r="G458" t="s">
        <v>2880</v>
      </c>
      <c r="H458" t="str">
        <f>INDEX([1]妻子表!$A:$A,MATCH(F458,[1]妻子表!$B:$B,0))</f>
        <v>M001040W01</v>
      </c>
      <c r="I458" t="str">
        <f>VLOOKUP(H458,[1]妻子表!$A:$D,4,0)</f>
        <v>王氏</v>
      </c>
      <c r="J458" t="s">
        <v>359</v>
      </c>
      <c r="K458" t="s">
        <v>3043</v>
      </c>
      <c r="L458" t="s">
        <v>1508</v>
      </c>
      <c r="M458" t="s">
        <v>3044</v>
      </c>
      <c r="N458" t="s">
        <v>901</v>
      </c>
      <c r="O458" t="s">
        <v>3045</v>
      </c>
      <c r="P458" t="s">
        <v>224</v>
      </c>
      <c r="Q458" t="s">
        <v>3046</v>
      </c>
      <c r="R458" t="s">
        <v>2156</v>
      </c>
      <c r="S458" t="s">
        <v>3047</v>
      </c>
      <c r="T458" s="2" t="s">
        <v>3048</v>
      </c>
      <c r="U458" t="s">
        <v>174</v>
      </c>
      <c r="AA458" t="s">
        <v>3049</v>
      </c>
    </row>
    <row r="459" spans="1:27" x14ac:dyDescent="0.25">
      <c r="A459" t="s">
        <v>3050</v>
      </c>
      <c r="B459" t="s">
        <v>3051</v>
      </c>
      <c r="C459" t="s">
        <v>29</v>
      </c>
      <c r="D459" t="s">
        <v>870</v>
      </c>
      <c r="E459" t="s">
        <v>2623</v>
      </c>
      <c r="F459" t="s">
        <v>2879</v>
      </c>
      <c r="G459" t="s">
        <v>2880</v>
      </c>
      <c r="H459" t="str">
        <f>INDEX([1]妻子表!$A:$A,MATCH(F459,[1]妻子表!$B:$B,0))</f>
        <v>M001040W01</v>
      </c>
      <c r="I459" t="str">
        <f>VLOOKUP(H459,[1]妻子表!$A:$D,4,0)</f>
        <v>王氏</v>
      </c>
      <c r="J459" t="s">
        <v>359</v>
      </c>
      <c r="K459" t="s">
        <v>3052</v>
      </c>
      <c r="M459" t="s">
        <v>3053</v>
      </c>
      <c r="N459" t="s">
        <v>1284</v>
      </c>
      <c r="O459" t="s">
        <v>3054</v>
      </c>
      <c r="P459" t="s">
        <v>497</v>
      </c>
      <c r="T459" s="2" t="s">
        <v>3055</v>
      </c>
      <c r="U459" t="s">
        <v>38</v>
      </c>
      <c r="AA459" t="s">
        <v>3056</v>
      </c>
    </row>
    <row r="460" spans="1:27" x14ac:dyDescent="0.25">
      <c r="A460" t="s">
        <v>3057</v>
      </c>
      <c r="B460" t="s">
        <v>3058</v>
      </c>
      <c r="C460" t="s">
        <v>29</v>
      </c>
      <c r="D460" t="s">
        <v>870</v>
      </c>
      <c r="E460" t="s">
        <v>2623</v>
      </c>
      <c r="F460" t="s">
        <v>2879</v>
      </c>
      <c r="G460" t="s">
        <v>2880</v>
      </c>
      <c r="H460" t="str">
        <f>INDEX([1]妻子表!$A:$A,MATCH(F460,[1]妻子表!$B:$B,0))</f>
        <v>M001040W01</v>
      </c>
      <c r="I460" t="str">
        <f>VLOOKUP(H460,[1]妻子表!$A:$D,4,0)</f>
        <v>王氏</v>
      </c>
      <c r="J460" t="s">
        <v>359</v>
      </c>
      <c r="K460" t="s">
        <v>3059</v>
      </c>
      <c r="M460" t="s">
        <v>3060</v>
      </c>
      <c r="N460" t="s">
        <v>1658</v>
      </c>
      <c r="O460" t="s">
        <v>3061</v>
      </c>
      <c r="P460" t="s">
        <v>257</v>
      </c>
      <c r="T460" s="2" t="s">
        <v>3062</v>
      </c>
      <c r="U460" t="s">
        <v>174</v>
      </c>
      <c r="Z460" t="s">
        <v>3063</v>
      </c>
      <c r="AA460" t="s">
        <v>3064</v>
      </c>
    </row>
    <row r="461" spans="1:27" x14ac:dyDescent="0.25">
      <c r="A461" t="s">
        <v>3065</v>
      </c>
      <c r="B461" t="s">
        <v>3066</v>
      </c>
      <c r="C461" t="s">
        <v>29</v>
      </c>
      <c r="D461" t="s">
        <v>870</v>
      </c>
      <c r="E461" t="s">
        <v>2623</v>
      </c>
      <c r="F461" t="s">
        <v>2879</v>
      </c>
      <c r="G461" t="s">
        <v>2880</v>
      </c>
      <c r="H461" t="str">
        <f>INDEX([1]妻子表!$A:$A,MATCH(F461,[1]妻子表!$B:$B,0))</f>
        <v>M001040W01</v>
      </c>
      <c r="I461" t="str">
        <f>VLOOKUP(H461,[1]妻子表!$A:$D,4,0)</f>
        <v>王氏</v>
      </c>
      <c r="J461" t="s">
        <v>359</v>
      </c>
      <c r="L461" t="s">
        <v>374</v>
      </c>
      <c r="M461" t="s">
        <v>3067</v>
      </c>
      <c r="N461" t="s">
        <v>1725</v>
      </c>
      <c r="O461" t="s">
        <v>3068</v>
      </c>
      <c r="P461" t="s">
        <v>224</v>
      </c>
      <c r="Q461" t="s">
        <v>3069</v>
      </c>
      <c r="R461" t="s">
        <v>2254</v>
      </c>
      <c r="S461" t="s">
        <v>3070</v>
      </c>
      <c r="T461" s="2" t="s">
        <v>3071</v>
      </c>
      <c r="U461" t="s">
        <v>138</v>
      </c>
      <c r="AA461" t="s">
        <v>3072</v>
      </c>
    </row>
    <row r="462" spans="1:27" x14ac:dyDescent="0.25">
      <c r="A462" t="s">
        <v>3073</v>
      </c>
      <c r="B462" t="s">
        <v>3074</v>
      </c>
      <c r="C462" t="s">
        <v>29</v>
      </c>
      <c r="D462" t="s">
        <v>870</v>
      </c>
      <c r="E462" t="s">
        <v>2623</v>
      </c>
      <c r="F462" t="s">
        <v>2890</v>
      </c>
      <c r="G462" t="s">
        <v>2891</v>
      </c>
      <c r="H462" t="str">
        <f>INDEX([1]妻子表!$A:$A,MATCH(F462,[1]妻子表!$B:$B,0))</f>
        <v>M001041W01</v>
      </c>
      <c r="I462" t="str">
        <f>VLOOKUP(H462,[1]妻子表!$A:$D,4,0)</f>
        <v>刘氏</v>
      </c>
      <c r="J462" t="s">
        <v>359</v>
      </c>
      <c r="L462" t="s">
        <v>1508</v>
      </c>
      <c r="M462" t="s">
        <v>3075</v>
      </c>
      <c r="N462" t="s">
        <v>2870</v>
      </c>
      <c r="O462" t="s">
        <v>3076</v>
      </c>
      <c r="P462" t="s">
        <v>458</v>
      </c>
      <c r="Q462" t="s">
        <v>3077</v>
      </c>
      <c r="R462" t="s">
        <v>1797</v>
      </c>
      <c r="S462" t="s">
        <v>3078</v>
      </c>
      <c r="T462" s="2" t="s">
        <v>3079</v>
      </c>
      <c r="U462" t="s">
        <v>174</v>
      </c>
      <c r="AA462" t="s">
        <v>3080</v>
      </c>
    </row>
    <row r="463" spans="1:27" x14ac:dyDescent="0.25">
      <c r="A463" t="s">
        <v>3081</v>
      </c>
      <c r="B463" t="s">
        <v>3082</v>
      </c>
      <c r="C463" t="s">
        <v>29</v>
      </c>
      <c r="D463" t="s">
        <v>870</v>
      </c>
      <c r="E463" t="s">
        <v>2623</v>
      </c>
      <c r="F463" t="s">
        <v>2890</v>
      </c>
      <c r="G463" t="s">
        <v>2891</v>
      </c>
      <c r="H463" t="str">
        <f>INDEX([1]妻子表!$A:$A,MATCH(F463,[1]妻子表!$B:$B,0))</f>
        <v>M001041W01</v>
      </c>
      <c r="I463" t="str">
        <f>VLOOKUP(H463,[1]妻子表!$A:$D,4,0)</f>
        <v>刘氏</v>
      </c>
      <c r="J463" t="s">
        <v>359</v>
      </c>
      <c r="K463" t="s">
        <v>2651</v>
      </c>
      <c r="M463" t="s">
        <v>3083</v>
      </c>
      <c r="N463" t="s">
        <v>1648</v>
      </c>
      <c r="O463" t="s">
        <v>3084</v>
      </c>
      <c r="P463" t="s">
        <v>200</v>
      </c>
      <c r="R463" t="s">
        <v>3085</v>
      </c>
      <c r="T463" s="2" t="s">
        <v>3086</v>
      </c>
      <c r="U463" t="s">
        <v>174</v>
      </c>
      <c r="AA463" t="s">
        <v>3087</v>
      </c>
    </row>
    <row r="464" spans="1:27" x14ac:dyDescent="0.25">
      <c r="A464" t="s">
        <v>3088</v>
      </c>
      <c r="B464" t="s">
        <v>3089</v>
      </c>
      <c r="C464" t="s">
        <v>29</v>
      </c>
      <c r="D464" t="s">
        <v>870</v>
      </c>
      <c r="E464" t="s">
        <v>2623</v>
      </c>
      <c r="F464" t="s">
        <v>2898</v>
      </c>
      <c r="G464" t="s">
        <v>2899</v>
      </c>
      <c r="H464" t="str">
        <f>INDEX([1]妻子表!$A:$A,MATCH(F464,[1]妻子表!$B:$B,0))</f>
        <v>M001042W01</v>
      </c>
      <c r="I464" t="str">
        <f>VLOOKUP(H464,[1]妻子表!$A:$D,4,0)</f>
        <v>某氏</v>
      </c>
      <c r="J464" t="s">
        <v>359</v>
      </c>
      <c r="K464" t="s">
        <v>2900</v>
      </c>
      <c r="L464" t="s">
        <v>737</v>
      </c>
      <c r="M464" t="s">
        <v>3090</v>
      </c>
      <c r="N464" t="s">
        <v>2057</v>
      </c>
      <c r="O464" t="s">
        <v>3091</v>
      </c>
      <c r="P464" t="s">
        <v>407</v>
      </c>
      <c r="Q464" t="s">
        <v>3092</v>
      </c>
      <c r="R464" t="s">
        <v>2018</v>
      </c>
      <c r="S464" t="s">
        <v>3093</v>
      </c>
      <c r="T464" s="2" t="s">
        <v>3094</v>
      </c>
      <c r="U464" t="s">
        <v>3095</v>
      </c>
      <c r="Y464" t="s">
        <v>1423</v>
      </c>
      <c r="AA464" t="s">
        <v>3096</v>
      </c>
    </row>
    <row r="465" spans="1:27" x14ac:dyDescent="0.25">
      <c r="A465" t="s">
        <v>3097</v>
      </c>
      <c r="B465" t="s">
        <v>3098</v>
      </c>
      <c r="C465" t="s">
        <v>29</v>
      </c>
      <c r="D465" t="s">
        <v>870</v>
      </c>
      <c r="E465" t="s">
        <v>2623</v>
      </c>
      <c r="F465" t="s">
        <v>2898</v>
      </c>
      <c r="G465" t="s">
        <v>2899</v>
      </c>
      <c r="H465" t="str">
        <f>INDEX([1]妻子表!$A:$A,MATCH(F465,[1]妻子表!$B:$B,0))</f>
        <v>M001042W01</v>
      </c>
      <c r="I465" t="str">
        <f>VLOOKUP(H465,[1]妻子表!$A:$D,4,0)</f>
        <v>某氏</v>
      </c>
      <c r="J465" t="s">
        <v>359</v>
      </c>
      <c r="K465" t="s">
        <v>2651</v>
      </c>
      <c r="L465" t="s">
        <v>311</v>
      </c>
      <c r="M465" t="s">
        <v>3099</v>
      </c>
      <c r="N465" t="s">
        <v>901</v>
      </c>
      <c r="O465" t="s">
        <v>3100</v>
      </c>
      <c r="P465" t="s">
        <v>224</v>
      </c>
      <c r="Q465" t="s">
        <v>3101</v>
      </c>
      <c r="R465" t="s">
        <v>2942</v>
      </c>
      <c r="S465" t="s">
        <v>3102</v>
      </c>
      <c r="T465" s="2" t="s">
        <v>3103</v>
      </c>
      <c r="U465" t="s">
        <v>882</v>
      </c>
      <c r="AA465" t="s">
        <v>3104</v>
      </c>
    </row>
    <row r="466" spans="1:27" x14ac:dyDescent="0.25">
      <c r="A466" t="s">
        <v>3105</v>
      </c>
      <c r="B466" t="s">
        <v>3106</v>
      </c>
      <c r="C466" t="s">
        <v>29</v>
      </c>
      <c r="D466" t="s">
        <v>870</v>
      </c>
      <c r="E466" t="s">
        <v>2623</v>
      </c>
      <c r="F466" t="s">
        <v>2898</v>
      </c>
      <c r="G466" t="s">
        <v>2899</v>
      </c>
      <c r="H466" t="str">
        <f>INDEX([1]妻子表!$A:$A,MATCH(F466,[1]妻子表!$B:$B,0))</f>
        <v>M001042W01</v>
      </c>
      <c r="I466" t="str">
        <f>VLOOKUP(H466,[1]妻子表!$A:$D,4,0)</f>
        <v>某氏</v>
      </c>
      <c r="J466" t="s">
        <v>359</v>
      </c>
      <c r="M466" t="s">
        <v>3107</v>
      </c>
      <c r="N466" t="s">
        <v>3108</v>
      </c>
      <c r="O466" t="s">
        <v>3109</v>
      </c>
      <c r="P466" t="s">
        <v>108</v>
      </c>
      <c r="AA466" t="s">
        <v>3110</v>
      </c>
    </row>
    <row r="467" spans="1:27" x14ac:dyDescent="0.25">
      <c r="A467" t="s">
        <v>3111</v>
      </c>
      <c r="B467" t="s">
        <v>3112</v>
      </c>
      <c r="C467" t="s">
        <v>29</v>
      </c>
      <c r="D467" t="s">
        <v>870</v>
      </c>
      <c r="E467" t="s">
        <v>2623</v>
      </c>
      <c r="F467" t="s">
        <v>2898</v>
      </c>
      <c r="G467" t="s">
        <v>2899</v>
      </c>
      <c r="H467" t="str">
        <f>INDEX([1]妻子表!$A:$A,MATCH(F467,[1]妻子表!$B:$B,0))</f>
        <v>M001042W01</v>
      </c>
      <c r="I467" t="str">
        <f>VLOOKUP(H467,[1]妻子表!$A:$D,4,0)</f>
        <v>某氏</v>
      </c>
      <c r="J467" t="s">
        <v>359</v>
      </c>
      <c r="L467" t="s">
        <v>2625</v>
      </c>
      <c r="M467" t="s">
        <v>3113</v>
      </c>
      <c r="N467" t="s">
        <v>1518</v>
      </c>
      <c r="O467" t="s">
        <v>3114</v>
      </c>
      <c r="P467" t="s">
        <v>601</v>
      </c>
      <c r="Q467" t="s">
        <v>3115</v>
      </c>
      <c r="R467" t="s">
        <v>2204</v>
      </c>
      <c r="S467" t="s">
        <v>3116</v>
      </c>
      <c r="T467" s="2" t="s">
        <v>3117</v>
      </c>
      <c r="U467" t="s">
        <v>3118</v>
      </c>
      <c r="AA467" t="s">
        <v>3119</v>
      </c>
    </row>
    <row r="468" spans="1:27" x14ac:dyDescent="0.25">
      <c r="A468" t="s">
        <v>3120</v>
      </c>
      <c r="B468" t="s">
        <v>3121</v>
      </c>
      <c r="C468" t="s">
        <v>29</v>
      </c>
      <c r="D468" t="s">
        <v>870</v>
      </c>
      <c r="E468" t="s">
        <v>2623</v>
      </c>
      <c r="F468" t="s">
        <v>2898</v>
      </c>
      <c r="G468" t="s">
        <v>2899</v>
      </c>
      <c r="H468" t="str">
        <f>INDEX([1]妻子表!$A:$A,MATCH(F468,[1]妻子表!$B:$B,0))</f>
        <v>M001042W01</v>
      </c>
      <c r="I468" t="str">
        <f>VLOOKUP(H468,[1]妻子表!$A:$D,4,0)</f>
        <v>某氏</v>
      </c>
      <c r="J468" t="s">
        <v>359</v>
      </c>
      <c r="M468" t="s">
        <v>3122</v>
      </c>
      <c r="N468" t="s">
        <v>1024</v>
      </c>
      <c r="O468" t="s">
        <v>3123</v>
      </c>
      <c r="P468" t="s">
        <v>169</v>
      </c>
      <c r="T468" s="2" t="s">
        <v>3124</v>
      </c>
      <c r="U468" t="s">
        <v>174</v>
      </c>
      <c r="AA468" t="s">
        <v>3125</v>
      </c>
    </row>
    <row r="469" spans="1:27" x14ac:dyDescent="0.25">
      <c r="A469" t="s">
        <v>3126</v>
      </c>
      <c r="B469" t="s">
        <v>3127</v>
      </c>
      <c r="C469" t="s">
        <v>29</v>
      </c>
      <c r="D469" t="s">
        <v>870</v>
      </c>
      <c r="E469" t="s">
        <v>2623</v>
      </c>
      <c r="F469" t="s">
        <v>2906</v>
      </c>
      <c r="G469" t="s">
        <v>2907</v>
      </c>
      <c r="H469" t="str">
        <f>INDEX([1]妻子表!$A:$A,MATCH(F469,[1]妻子表!$B:$B,0))</f>
        <v>M001043W01</v>
      </c>
      <c r="I469" t="str">
        <f>VLOOKUP(H469,[1]妻子表!$A:$D,4,0)</f>
        <v>龙氏</v>
      </c>
      <c r="J469" t="s">
        <v>359</v>
      </c>
      <c r="M469" t="s">
        <v>3128</v>
      </c>
      <c r="N469" t="s">
        <v>1526</v>
      </c>
      <c r="O469" t="s">
        <v>3129</v>
      </c>
      <c r="P469" t="s">
        <v>497</v>
      </c>
      <c r="T469" s="2" t="s">
        <v>3130</v>
      </c>
      <c r="U469" t="s">
        <v>882</v>
      </c>
      <c r="AA469" t="s">
        <v>3131</v>
      </c>
    </row>
    <row r="470" spans="1:27" x14ac:dyDescent="0.25">
      <c r="A470" t="s">
        <v>3132</v>
      </c>
      <c r="B470" t="s">
        <v>3133</v>
      </c>
      <c r="C470" t="s">
        <v>29</v>
      </c>
      <c r="D470" t="s">
        <v>870</v>
      </c>
      <c r="E470" t="s">
        <v>2623</v>
      </c>
      <c r="F470" t="s">
        <v>2906</v>
      </c>
      <c r="G470" t="s">
        <v>2907</v>
      </c>
      <c r="H470" t="str">
        <f>INDEX([1]妻子表!$A:$A,MATCH(F470,[1]妻子表!$B:$B,0))</f>
        <v>M001043W01</v>
      </c>
      <c r="I470" t="str">
        <f>VLOOKUP(H470,[1]妻子表!$A:$D,4,0)</f>
        <v>龙氏</v>
      </c>
      <c r="J470" t="s">
        <v>359</v>
      </c>
      <c r="AA470" t="s">
        <v>3134</v>
      </c>
    </row>
    <row r="471" spans="1:27" x14ac:dyDescent="0.25">
      <c r="A471" t="s">
        <v>3135</v>
      </c>
      <c r="B471" t="s">
        <v>3136</v>
      </c>
      <c r="C471" t="s">
        <v>29</v>
      </c>
      <c r="D471" t="s">
        <v>870</v>
      </c>
      <c r="E471" t="s">
        <v>2623</v>
      </c>
      <c r="F471" t="s">
        <v>2906</v>
      </c>
      <c r="G471" t="s">
        <v>2907</v>
      </c>
      <c r="H471" t="str">
        <f>INDEX([1]妻子表!$A:$A,MATCH(F471,[1]妻子表!$B:$B,0))</f>
        <v>M001043W01</v>
      </c>
      <c r="I471" t="str">
        <f>VLOOKUP(H471,[1]妻子表!$A:$D,4,0)</f>
        <v>龙氏</v>
      </c>
      <c r="J471" t="s">
        <v>359</v>
      </c>
      <c r="AA471" t="s">
        <v>3137</v>
      </c>
    </row>
    <row r="472" spans="1:27" x14ac:dyDescent="0.25">
      <c r="A472" t="s">
        <v>3138</v>
      </c>
      <c r="B472" t="s">
        <v>3139</v>
      </c>
      <c r="C472" t="s">
        <v>29</v>
      </c>
      <c r="D472" t="s">
        <v>870</v>
      </c>
      <c r="E472" t="s">
        <v>2623</v>
      </c>
      <c r="F472" t="s">
        <v>2906</v>
      </c>
      <c r="G472" t="s">
        <v>2907</v>
      </c>
      <c r="H472" t="str">
        <f>INDEX([1]妻子表!$A:$A,MATCH(F472,[1]妻子表!$B:$B,0))</f>
        <v>M001043W01</v>
      </c>
      <c r="I472" t="str">
        <f>VLOOKUP(H472,[1]妻子表!$A:$D,4,0)</f>
        <v>龙氏</v>
      </c>
      <c r="J472" t="s">
        <v>359</v>
      </c>
      <c r="AA472" t="s">
        <v>3134</v>
      </c>
    </row>
    <row r="473" spans="1:27" x14ac:dyDescent="0.25">
      <c r="A473" t="s">
        <v>3140</v>
      </c>
      <c r="B473" t="s">
        <v>3141</v>
      </c>
      <c r="C473" t="s">
        <v>3142</v>
      </c>
      <c r="D473" t="s">
        <v>870</v>
      </c>
      <c r="E473" t="s">
        <v>2623</v>
      </c>
      <c r="J473" t="s">
        <v>359</v>
      </c>
      <c r="AA473" t="s">
        <v>3134</v>
      </c>
    </row>
    <row r="474" spans="1:27" ht="31.5" customHeight="1" x14ac:dyDescent="0.25">
      <c r="A474" t="s">
        <v>3143</v>
      </c>
      <c r="B474" t="s">
        <v>3144</v>
      </c>
      <c r="C474" t="s">
        <v>29</v>
      </c>
      <c r="D474" t="s">
        <v>1846</v>
      </c>
      <c r="E474" t="s">
        <v>2623</v>
      </c>
      <c r="F474" t="s">
        <v>2917</v>
      </c>
      <c r="G474" t="s">
        <v>2918</v>
      </c>
      <c r="H474" t="str">
        <f>INDEX([1]妻子表!$A:$A,MATCH(F474,[1]妻子表!$B:$B,0))</f>
        <v>M001045W01</v>
      </c>
      <c r="I474" t="str">
        <f>VLOOKUP(H474,[1]妻子表!$A:$D,4,0)</f>
        <v>王氏</v>
      </c>
      <c r="J474" t="s">
        <v>359</v>
      </c>
      <c r="K474" t="s">
        <v>3145</v>
      </c>
      <c r="M474" t="s">
        <v>3146</v>
      </c>
      <c r="N474" t="s">
        <v>1036</v>
      </c>
      <c r="O474" t="s">
        <v>3147</v>
      </c>
      <c r="P474" t="s">
        <v>108</v>
      </c>
      <c r="T474" s="2" t="s">
        <v>3148</v>
      </c>
      <c r="U474" t="s">
        <v>3149</v>
      </c>
      <c r="AA474" t="s">
        <v>3150</v>
      </c>
    </row>
    <row r="475" spans="1:27" x14ac:dyDescent="0.25">
      <c r="A475" t="s">
        <v>3151</v>
      </c>
      <c r="B475" t="s">
        <v>3152</v>
      </c>
      <c r="C475" t="s">
        <v>29</v>
      </c>
      <c r="D475" t="s">
        <v>1846</v>
      </c>
      <c r="E475" t="s">
        <v>2623</v>
      </c>
      <c r="F475" t="s">
        <v>2917</v>
      </c>
      <c r="G475" t="s">
        <v>2918</v>
      </c>
      <c r="H475" t="str">
        <f>INDEX([1]妻子表!$A:$A,MATCH(F475,[1]妻子表!$B:$B,0))</f>
        <v>M001045W01</v>
      </c>
      <c r="I475" t="str">
        <f>VLOOKUP(H475,[1]妻子表!$A:$D,4,0)</f>
        <v>王氏</v>
      </c>
      <c r="J475" t="s">
        <v>359</v>
      </c>
      <c r="K475" t="s">
        <v>2820</v>
      </c>
      <c r="L475" t="s">
        <v>3153</v>
      </c>
      <c r="M475" t="s">
        <v>3154</v>
      </c>
      <c r="N475" t="s">
        <v>972</v>
      </c>
      <c r="O475" t="s">
        <v>3155</v>
      </c>
      <c r="P475" t="s">
        <v>184</v>
      </c>
      <c r="T475" s="2" t="s">
        <v>3156</v>
      </c>
      <c r="U475" t="s">
        <v>138</v>
      </c>
      <c r="AA475" t="s">
        <v>3157</v>
      </c>
    </row>
    <row r="476" spans="1:27" x14ac:dyDescent="0.25">
      <c r="A476" t="s">
        <v>3158</v>
      </c>
      <c r="B476" t="s">
        <v>3159</v>
      </c>
      <c r="C476" t="s">
        <v>29</v>
      </c>
      <c r="D476" t="s">
        <v>1846</v>
      </c>
      <c r="E476" t="s">
        <v>2623</v>
      </c>
      <c r="F476" t="s">
        <v>2917</v>
      </c>
      <c r="G476" t="s">
        <v>2918</v>
      </c>
      <c r="H476" t="str">
        <f>INDEX([1]妻子表!$A:$A,MATCH(F476,[1]妻子表!$B:$B,0))</f>
        <v>M001045W01</v>
      </c>
      <c r="I476" t="str">
        <f>VLOOKUP(H476,[1]妻子表!$A:$D,4,0)</f>
        <v>王氏</v>
      </c>
      <c r="J476" t="s">
        <v>359</v>
      </c>
      <c r="K476" t="s">
        <v>1138</v>
      </c>
      <c r="L476" t="s">
        <v>3153</v>
      </c>
      <c r="M476" t="s">
        <v>3160</v>
      </c>
      <c r="N476" t="s">
        <v>1321</v>
      </c>
      <c r="O476" t="s">
        <v>3161</v>
      </c>
      <c r="P476" t="s">
        <v>257</v>
      </c>
      <c r="Q476" t="s">
        <v>3162</v>
      </c>
      <c r="R476" t="s">
        <v>1574</v>
      </c>
      <c r="S476" t="s">
        <v>3163</v>
      </c>
      <c r="AA476" t="s">
        <v>3164</v>
      </c>
    </row>
    <row r="477" spans="1:27" x14ac:dyDescent="0.25">
      <c r="A477" t="s">
        <v>3165</v>
      </c>
      <c r="B477" t="s">
        <v>3166</v>
      </c>
      <c r="C477" t="s">
        <v>29</v>
      </c>
      <c r="D477" t="s">
        <v>1846</v>
      </c>
      <c r="E477" t="s">
        <v>2623</v>
      </c>
      <c r="F477" t="s">
        <v>2917</v>
      </c>
      <c r="G477" t="s">
        <v>2918</v>
      </c>
      <c r="H477" t="str">
        <f>INDEX([1]妻子表!$A:$A,MATCH(F477,[1]妻子表!$B:$B,0))</f>
        <v>M001045W01</v>
      </c>
      <c r="I477" t="str">
        <f>VLOOKUP(H477,[1]妻子表!$A:$D,4,0)</f>
        <v>王氏</v>
      </c>
      <c r="J477" t="s">
        <v>359</v>
      </c>
      <c r="M477" t="s">
        <v>3167</v>
      </c>
      <c r="N477" t="s">
        <v>2044</v>
      </c>
      <c r="O477" t="s">
        <v>3168</v>
      </c>
      <c r="P477" t="s">
        <v>108</v>
      </c>
      <c r="T477" s="2" t="s">
        <v>3169</v>
      </c>
      <c r="U477" t="s">
        <v>38</v>
      </c>
      <c r="AA477" t="s">
        <v>3170</v>
      </c>
    </row>
    <row r="478" spans="1:27" x14ac:dyDescent="0.25">
      <c r="A478" t="s">
        <v>3171</v>
      </c>
      <c r="B478" t="s">
        <v>3172</v>
      </c>
      <c r="C478" t="s">
        <v>29</v>
      </c>
      <c r="D478" t="s">
        <v>1846</v>
      </c>
      <c r="E478" t="s">
        <v>2623</v>
      </c>
      <c r="F478" t="s">
        <v>2926</v>
      </c>
      <c r="G478" t="s">
        <v>2927</v>
      </c>
      <c r="H478" t="str">
        <f>INDEX([1]妻子表!$A:$A,MATCH(F478,[1]妻子表!$B:$B,0))</f>
        <v>M001046W01</v>
      </c>
      <c r="I478" t="str">
        <f>VLOOKUP(H478,[1]妻子表!$A:$D,4,0)</f>
        <v>许氏</v>
      </c>
      <c r="J478" t="s">
        <v>359</v>
      </c>
      <c r="K478" t="s">
        <v>3173</v>
      </c>
      <c r="L478" t="s">
        <v>441</v>
      </c>
      <c r="M478" t="s">
        <v>3174</v>
      </c>
      <c r="N478" t="s">
        <v>1448</v>
      </c>
      <c r="O478" t="s">
        <v>3175</v>
      </c>
      <c r="P478" t="s">
        <v>224</v>
      </c>
      <c r="Q478" t="s">
        <v>3176</v>
      </c>
      <c r="R478" t="s">
        <v>2050</v>
      </c>
      <c r="S478" t="s">
        <v>3177</v>
      </c>
      <c r="T478" s="2" t="s">
        <v>3178</v>
      </c>
      <c r="U478" t="s">
        <v>174</v>
      </c>
      <c r="AA478" t="s">
        <v>3179</v>
      </c>
    </row>
    <row r="479" spans="1:27" x14ac:dyDescent="0.25">
      <c r="A479" t="s">
        <v>3180</v>
      </c>
      <c r="B479" t="s">
        <v>3181</v>
      </c>
      <c r="C479" t="s">
        <v>29</v>
      </c>
      <c r="D479" t="s">
        <v>1846</v>
      </c>
      <c r="E479" t="s">
        <v>2623</v>
      </c>
      <c r="F479" t="s">
        <v>2926</v>
      </c>
      <c r="G479" t="s">
        <v>2927</v>
      </c>
      <c r="H479" t="str">
        <f>INDEX([1]妻子表!$A:$A,MATCH(F479,[1]妻子表!$B:$B,0))</f>
        <v>M001046W01</v>
      </c>
      <c r="I479" t="str">
        <f>VLOOKUP(H479,[1]妻子表!$A:$D,4,0)</f>
        <v>许氏</v>
      </c>
      <c r="J479" t="s">
        <v>359</v>
      </c>
      <c r="M479" t="s">
        <v>3182</v>
      </c>
      <c r="N479" t="s">
        <v>1099</v>
      </c>
      <c r="O479" t="s">
        <v>3183</v>
      </c>
      <c r="P479" t="s">
        <v>315</v>
      </c>
      <c r="AA479" t="s">
        <v>3184</v>
      </c>
    </row>
    <row r="480" spans="1:27" x14ac:dyDescent="0.25">
      <c r="A480" t="s">
        <v>3185</v>
      </c>
      <c r="B480" t="s">
        <v>3186</v>
      </c>
      <c r="C480" t="s">
        <v>29</v>
      </c>
      <c r="D480" t="s">
        <v>1846</v>
      </c>
      <c r="E480" t="s">
        <v>2623</v>
      </c>
      <c r="F480" t="s">
        <v>2926</v>
      </c>
      <c r="G480" t="s">
        <v>2927</v>
      </c>
      <c r="H480" t="str">
        <f>INDEX([1]妻子表!$A:$A,MATCH(F480,[1]妻子表!$B:$B,0))</f>
        <v>M001046W01</v>
      </c>
      <c r="I480" t="str">
        <f>VLOOKUP(H480,[1]妻子表!$A:$D,4,0)</f>
        <v>许氏</v>
      </c>
      <c r="J480" t="s">
        <v>359</v>
      </c>
      <c r="M480" t="s">
        <v>3187</v>
      </c>
      <c r="N480" t="s">
        <v>1502</v>
      </c>
      <c r="O480" t="s">
        <v>3188</v>
      </c>
      <c r="P480" t="s">
        <v>497</v>
      </c>
      <c r="T480" s="2" t="s">
        <v>3189</v>
      </c>
      <c r="U480" t="s">
        <v>174</v>
      </c>
      <c r="AA480" t="s">
        <v>3190</v>
      </c>
    </row>
    <row r="481" spans="1:27" x14ac:dyDescent="0.25">
      <c r="A481" t="s">
        <v>3191</v>
      </c>
      <c r="B481" t="s">
        <v>3192</v>
      </c>
      <c r="C481" t="s">
        <v>29</v>
      </c>
      <c r="D481" t="s">
        <v>1846</v>
      </c>
      <c r="E481" t="s">
        <v>2623</v>
      </c>
      <c r="F481" t="s">
        <v>2926</v>
      </c>
      <c r="G481" t="s">
        <v>2927</v>
      </c>
      <c r="H481" t="str">
        <f>INDEX([1]妻子表!$A:$A,MATCH(F481,[1]妻子表!$B:$B,0))</f>
        <v>M001046W01</v>
      </c>
      <c r="I481" t="str">
        <f>VLOOKUP(H481,[1]妻子表!$A:$D,4,0)</f>
        <v>许氏</v>
      </c>
      <c r="J481" t="s">
        <v>359</v>
      </c>
      <c r="K481" t="s">
        <v>3193</v>
      </c>
      <c r="L481" t="s">
        <v>180</v>
      </c>
      <c r="M481" t="s">
        <v>3194</v>
      </c>
      <c r="N481" t="s">
        <v>1343</v>
      </c>
      <c r="O481" t="s">
        <v>3195</v>
      </c>
      <c r="P481" t="s">
        <v>458</v>
      </c>
      <c r="Q481" t="s">
        <v>3196</v>
      </c>
      <c r="R481" t="s">
        <v>3197</v>
      </c>
      <c r="S481" t="s">
        <v>3198</v>
      </c>
      <c r="T481" s="2" t="s">
        <v>3199</v>
      </c>
      <c r="U481" t="s">
        <v>354</v>
      </c>
      <c r="AA481" t="s">
        <v>3200</v>
      </c>
    </row>
    <row r="482" spans="1:27" x14ac:dyDescent="0.25">
      <c r="A482" t="s">
        <v>3201</v>
      </c>
      <c r="B482" t="s">
        <v>3202</v>
      </c>
      <c r="C482" t="s">
        <v>29</v>
      </c>
      <c r="D482" t="s">
        <v>1846</v>
      </c>
      <c r="E482" t="s">
        <v>2623</v>
      </c>
      <c r="F482" t="s">
        <v>2926</v>
      </c>
      <c r="G482" t="s">
        <v>2927</v>
      </c>
      <c r="H482" t="str">
        <f>INDEX([1]妻子表!$A:$A,MATCH(F482,[1]妻子表!$B:$B,0))</f>
        <v>M001046W01</v>
      </c>
      <c r="I482" t="str">
        <f>VLOOKUP(H482,[1]妻子表!$A:$D,4,0)</f>
        <v>许氏</v>
      </c>
      <c r="J482" t="s">
        <v>359</v>
      </c>
      <c r="M482" t="s">
        <v>3203</v>
      </c>
      <c r="N482" t="s">
        <v>1994</v>
      </c>
      <c r="O482" t="s">
        <v>3204</v>
      </c>
      <c r="P482" t="s">
        <v>200</v>
      </c>
      <c r="AA482" t="s">
        <v>3205</v>
      </c>
    </row>
    <row r="483" spans="1:27" x14ac:dyDescent="0.25">
      <c r="A483" t="s">
        <v>3206</v>
      </c>
      <c r="B483" t="s">
        <v>3207</v>
      </c>
      <c r="C483" t="s">
        <v>29</v>
      </c>
      <c r="D483" t="s">
        <v>1846</v>
      </c>
      <c r="E483" t="s">
        <v>2623</v>
      </c>
      <c r="F483" t="s">
        <v>2936</v>
      </c>
      <c r="G483" t="s">
        <v>2937</v>
      </c>
      <c r="H483" t="str">
        <f>INDEX([1]妻子表!$A:$A,MATCH(F483,[1]妻子表!$B:$B,0))</f>
        <v>M001047W01</v>
      </c>
      <c r="I483" t="str">
        <f>VLOOKUP(H483,[1]妻子表!$A:$D,4,0)</f>
        <v>陈氏</v>
      </c>
      <c r="J483" t="s">
        <v>359</v>
      </c>
      <c r="M483" t="s">
        <v>3208</v>
      </c>
      <c r="N483" t="s">
        <v>1526</v>
      </c>
      <c r="O483" t="s">
        <v>3209</v>
      </c>
      <c r="P483" t="s">
        <v>497</v>
      </c>
      <c r="T483" s="2" t="s">
        <v>3210</v>
      </c>
      <c r="U483" t="s">
        <v>38</v>
      </c>
      <c r="AA483" t="s">
        <v>3211</v>
      </c>
    </row>
    <row r="484" spans="1:27" x14ac:dyDescent="0.25">
      <c r="A484" t="s">
        <v>3212</v>
      </c>
      <c r="B484" t="s">
        <v>3213</v>
      </c>
      <c r="C484" t="s">
        <v>29</v>
      </c>
      <c r="D484" t="s">
        <v>1846</v>
      </c>
      <c r="E484" t="s">
        <v>2623</v>
      </c>
      <c r="F484" t="s">
        <v>2936</v>
      </c>
      <c r="G484" t="s">
        <v>2937</v>
      </c>
      <c r="H484" t="str">
        <f>INDEX([1]妻子表!$A:$A,MATCH(F484,[1]妻子表!$B:$B,0))</f>
        <v>M001047W01</v>
      </c>
      <c r="I484" t="str">
        <f>VLOOKUP(H484,[1]妻子表!$A:$D,4,0)</f>
        <v>陈氏</v>
      </c>
      <c r="J484" t="s">
        <v>359</v>
      </c>
      <c r="M484" t="s">
        <v>3214</v>
      </c>
      <c r="N484" t="s">
        <v>3215</v>
      </c>
      <c r="O484" t="s">
        <v>3216</v>
      </c>
      <c r="P484" t="s">
        <v>458</v>
      </c>
      <c r="T484" s="2" t="s">
        <v>3217</v>
      </c>
      <c r="U484" t="s">
        <v>138</v>
      </c>
      <c r="AA484" t="s">
        <v>3218</v>
      </c>
    </row>
    <row r="485" spans="1:27" x14ac:dyDescent="0.25">
      <c r="A485" t="s">
        <v>3219</v>
      </c>
      <c r="B485" t="s">
        <v>3220</v>
      </c>
      <c r="C485" t="s">
        <v>29</v>
      </c>
      <c r="D485" t="s">
        <v>1846</v>
      </c>
      <c r="E485" t="s">
        <v>2623</v>
      </c>
      <c r="F485" t="s">
        <v>2936</v>
      </c>
      <c r="G485" t="s">
        <v>2937</v>
      </c>
      <c r="H485" t="str">
        <f>INDEX([1]妻子表!$A:$A,MATCH(F485,[1]妻子表!$B:$B,0))</f>
        <v>M001047W01</v>
      </c>
      <c r="I485" t="str">
        <f>VLOOKUP(H485,[1]妻子表!$A:$D,4,0)</f>
        <v>陈氏</v>
      </c>
      <c r="J485" t="s">
        <v>359</v>
      </c>
      <c r="M485" t="s">
        <v>3221</v>
      </c>
      <c r="N485" t="s">
        <v>830</v>
      </c>
      <c r="O485" t="s">
        <v>3222</v>
      </c>
      <c r="P485" t="s">
        <v>200</v>
      </c>
      <c r="T485" s="2" t="s">
        <v>3223</v>
      </c>
      <c r="U485" t="s">
        <v>174</v>
      </c>
      <c r="AA485" t="s">
        <v>3224</v>
      </c>
    </row>
    <row r="486" spans="1:27" x14ac:dyDescent="0.25">
      <c r="A486" t="s">
        <v>3225</v>
      </c>
      <c r="B486" t="s">
        <v>3226</v>
      </c>
      <c r="C486" t="s">
        <v>29</v>
      </c>
      <c r="D486" t="s">
        <v>1846</v>
      </c>
      <c r="E486" t="s">
        <v>2623</v>
      </c>
      <c r="F486" t="s">
        <v>2936</v>
      </c>
      <c r="G486" t="s">
        <v>2937</v>
      </c>
      <c r="H486" t="str">
        <f>INDEX([1]妻子表!$A:$A,MATCH(F486,[1]妻子表!$B:$B,0))</f>
        <v>M001047W01</v>
      </c>
      <c r="I486" t="str">
        <f>VLOOKUP(H486,[1]妻子表!$A:$D,4,0)</f>
        <v>陈氏</v>
      </c>
      <c r="J486" t="s">
        <v>359</v>
      </c>
      <c r="M486" t="s">
        <v>3227</v>
      </c>
      <c r="N486" t="s">
        <v>1980</v>
      </c>
      <c r="O486" t="s">
        <v>3228</v>
      </c>
      <c r="P486" t="s">
        <v>407</v>
      </c>
      <c r="T486" s="2" t="s">
        <v>3229</v>
      </c>
      <c r="U486" t="s">
        <v>138</v>
      </c>
      <c r="AA486" t="s">
        <v>3230</v>
      </c>
    </row>
    <row r="487" spans="1:27" x14ac:dyDescent="0.25">
      <c r="A487" t="s">
        <v>3231</v>
      </c>
      <c r="B487" t="s">
        <v>3232</v>
      </c>
      <c r="C487" t="s">
        <v>29</v>
      </c>
      <c r="D487" t="s">
        <v>1846</v>
      </c>
      <c r="E487" t="s">
        <v>2623</v>
      </c>
      <c r="F487" t="s">
        <v>2936</v>
      </c>
      <c r="G487" t="s">
        <v>2937</v>
      </c>
      <c r="H487" t="str">
        <f>INDEX([1]妻子表!$A:$A,MATCH(F487,[1]妻子表!$B:$B,0))</f>
        <v>M001047W01</v>
      </c>
      <c r="I487" t="str">
        <f>VLOOKUP(H487,[1]妻子表!$A:$D,4,0)</f>
        <v>陈氏</v>
      </c>
      <c r="J487" t="s">
        <v>359</v>
      </c>
      <c r="M487" t="s">
        <v>3233</v>
      </c>
      <c r="N487" t="s">
        <v>1987</v>
      </c>
      <c r="O487" t="s">
        <v>3234</v>
      </c>
      <c r="P487" t="s">
        <v>184</v>
      </c>
      <c r="T487" s="2" t="s">
        <v>3235</v>
      </c>
      <c r="U487" t="s">
        <v>174</v>
      </c>
      <c r="AA487" t="s">
        <v>3236</v>
      </c>
    </row>
    <row r="488" spans="1:27" x14ac:dyDescent="0.25">
      <c r="A488" t="s">
        <v>3237</v>
      </c>
      <c r="B488" t="s">
        <v>3238</v>
      </c>
      <c r="C488" t="s">
        <v>29</v>
      </c>
      <c r="D488" t="s">
        <v>1846</v>
      </c>
      <c r="E488" t="s">
        <v>2623</v>
      </c>
      <c r="F488" t="s">
        <v>2936</v>
      </c>
      <c r="G488" t="s">
        <v>2937</v>
      </c>
      <c r="H488" t="str">
        <f>INDEX([1]妻子表!$A:$A,MATCH(F488,[1]妻子表!$B:$B,0))</f>
        <v>M001047W01</v>
      </c>
      <c r="I488" t="str">
        <f>VLOOKUP(H488,[1]妻子表!$A:$D,4,0)</f>
        <v>陈氏</v>
      </c>
      <c r="J488" t="s">
        <v>359</v>
      </c>
      <c r="M488" t="s">
        <v>3239</v>
      </c>
      <c r="N488" t="s">
        <v>1473</v>
      </c>
      <c r="O488" t="s">
        <v>3240</v>
      </c>
      <c r="P488" t="s">
        <v>407</v>
      </c>
      <c r="AA488" t="s">
        <v>3241</v>
      </c>
    </row>
    <row r="489" spans="1:27" x14ac:dyDescent="0.25">
      <c r="A489" t="s">
        <v>3242</v>
      </c>
      <c r="B489" t="s">
        <v>3243</v>
      </c>
      <c r="C489" t="s">
        <v>29</v>
      </c>
      <c r="D489" t="s">
        <v>1846</v>
      </c>
      <c r="E489" t="s">
        <v>2623</v>
      </c>
      <c r="F489" t="s">
        <v>2946</v>
      </c>
      <c r="G489" t="s">
        <v>2947</v>
      </c>
      <c r="H489" t="str">
        <f>INDEX([1]妻子表!$A:$A,MATCH(F489,[1]妻子表!$B:$B,0))</f>
        <v>M001048W01</v>
      </c>
      <c r="I489" t="str">
        <f>VLOOKUP(H489,[1]妻子表!$A:$D,4,0)</f>
        <v>王氏</v>
      </c>
      <c r="J489" t="s">
        <v>359</v>
      </c>
      <c r="M489" t="s">
        <v>3244</v>
      </c>
      <c r="N489" t="s">
        <v>1266</v>
      </c>
      <c r="O489" t="s">
        <v>3245</v>
      </c>
      <c r="P489" t="s">
        <v>240</v>
      </c>
      <c r="T489" s="2" t="s">
        <v>3246</v>
      </c>
      <c r="U489" t="s">
        <v>174</v>
      </c>
      <c r="AA489" t="s">
        <v>3247</v>
      </c>
    </row>
    <row r="490" spans="1:27" x14ac:dyDescent="0.25">
      <c r="A490" t="s">
        <v>3248</v>
      </c>
      <c r="B490" t="s">
        <v>3249</v>
      </c>
      <c r="C490" t="s">
        <v>29</v>
      </c>
      <c r="D490" t="s">
        <v>1846</v>
      </c>
      <c r="E490" t="s">
        <v>2623</v>
      </c>
      <c r="F490" t="s">
        <v>2946</v>
      </c>
      <c r="G490" t="s">
        <v>2947</v>
      </c>
      <c r="H490" t="str">
        <f>INDEX([1]妻子表!$A:$A,MATCH(F490,[1]妻子表!$B:$B,0))</f>
        <v>M001048W01</v>
      </c>
      <c r="I490" t="str">
        <f>VLOOKUP(H490,[1]妻子表!$A:$D,4,0)</f>
        <v>王氏</v>
      </c>
      <c r="J490" t="s">
        <v>359</v>
      </c>
      <c r="K490" t="s">
        <v>1138</v>
      </c>
      <c r="L490" t="s">
        <v>193</v>
      </c>
      <c r="M490" t="s">
        <v>3250</v>
      </c>
      <c r="N490" t="s">
        <v>1233</v>
      </c>
      <c r="O490" t="s">
        <v>3251</v>
      </c>
      <c r="P490" t="s">
        <v>315</v>
      </c>
      <c r="Q490" t="s">
        <v>3252</v>
      </c>
      <c r="R490" t="s">
        <v>2248</v>
      </c>
      <c r="S490" t="s">
        <v>3253</v>
      </c>
      <c r="T490" s="2" t="s">
        <v>3254</v>
      </c>
      <c r="U490" t="s">
        <v>38</v>
      </c>
      <c r="AA490" t="s">
        <v>3255</v>
      </c>
    </row>
    <row r="491" spans="1:27" x14ac:dyDescent="0.25">
      <c r="A491" t="s">
        <v>3256</v>
      </c>
      <c r="B491" t="s">
        <v>3257</v>
      </c>
      <c r="C491" t="s">
        <v>29</v>
      </c>
      <c r="D491" t="s">
        <v>1846</v>
      </c>
      <c r="E491" t="s">
        <v>2623</v>
      </c>
      <c r="F491" t="s">
        <v>2946</v>
      </c>
      <c r="G491" t="s">
        <v>2947</v>
      </c>
      <c r="H491" t="str">
        <f>INDEX([1]妻子表!$A:$A,MATCH(F491,[1]妻子表!$B:$B,0))</f>
        <v>M001048W01</v>
      </c>
      <c r="I491" t="str">
        <f>VLOOKUP(H491,[1]妻子表!$A:$D,4,0)</f>
        <v>王氏</v>
      </c>
      <c r="J491" t="s">
        <v>359</v>
      </c>
      <c r="M491" t="s">
        <v>3258</v>
      </c>
      <c r="N491" t="s">
        <v>1473</v>
      </c>
      <c r="O491" t="s">
        <v>3259</v>
      </c>
      <c r="P491" t="s">
        <v>407</v>
      </c>
      <c r="T491" s="2" t="s">
        <v>3260</v>
      </c>
      <c r="U491" t="s">
        <v>1221</v>
      </c>
      <c r="AA491" t="s">
        <v>3261</v>
      </c>
    </row>
    <row r="492" spans="1:27" x14ac:dyDescent="0.25">
      <c r="A492" t="s">
        <v>3262</v>
      </c>
      <c r="B492" t="s">
        <v>3263</v>
      </c>
      <c r="C492" t="s">
        <v>29</v>
      </c>
      <c r="D492" t="s">
        <v>1846</v>
      </c>
      <c r="E492" t="s">
        <v>2623</v>
      </c>
      <c r="F492" t="s">
        <v>2946</v>
      </c>
      <c r="G492" t="s">
        <v>2947</v>
      </c>
      <c r="H492" t="str">
        <f>INDEX([1]妻子表!$A:$A,MATCH(F492,[1]妻子表!$B:$B,0))</f>
        <v>M001048W01</v>
      </c>
      <c r="I492" t="str">
        <f>VLOOKUP(H492,[1]妻子表!$A:$D,4,0)</f>
        <v>王氏</v>
      </c>
      <c r="J492" t="s">
        <v>359</v>
      </c>
      <c r="M492" t="s">
        <v>3264</v>
      </c>
      <c r="N492" t="s">
        <v>2998</v>
      </c>
      <c r="O492" t="s">
        <v>3265</v>
      </c>
      <c r="P492" t="s">
        <v>257</v>
      </c>
      <c r="AA492" t="s">
        <v>3266</v>
      </c>
    </row>
    <row r="493" spans="1:27" ht="31.5" customHeight="1" x14ac:dyDescent="0.25">
      <c r="A493" t="s">
        <v>3267</v>
      </c>
      <c r="B493" t="s">
        <v>3268</v>
      </c>
      <c r="C493" t="s">
        <v>29</v>
      </c>
      <c r="D493" t="s">
        <v>1846</v>
      </c>
      <c r="E493" t="s">
        <v>2623</v>
      </c>
      <c r="F493" t="s">
        <v>2953</v>
      </c>
      <c r="G493" t="s">
        <v>2954</v>
      </c>
      <c r="H493" t="str">
        <f>INDEX([1]妻子表!$A:$A,MATCH(F493,[1]妻子表!$B:$B,0))</f>
        <v>M001049W01</v>
      </c>
      <c r="I493" t="str">
        <f>VLOOKUP(H493,[1]妻子表!$A:$D,4,0)</f>
        <v>王氏</v>
      </c>
      <c r="J493" t="s">
        <v>359</v>
      </c>
      <c r="M493" t="s">
        <v>3269</v>
      </c>
      <c r="N493" t="s">
        <v>1868</v>
      </c>
      <c r="O493" t="s">
        <v>3270</v>
      </c>
      <c r="P493" t="s">
        <v>458</v>
      </c>
      <c r="T493" s="2" t="s">
        <v>3271</v>
      </c>
      <c r="U493" t="s">
        <v>3272</v>
      </c>
      <c r="AA493" t="s">
        <v>3273</v>
      </c>
    </row>
    <row r="494" spans="1:27" x14ac:dyDescent="0.25">
      <c r="A494" t="s">
        <v>3274</v>
      </c>
      <c r="B494" t="s">
        <v>3275</v>
      </c>
      <c r="C494" t="s">
        <v>29</v>
      </c>
      <c r="D494" t="s">
        <v>1846</v>
      </c>
      <c r="E494" t="s">
        <v>2623</v>
      </c>
      <c r="F494" t="s">
        <v>2953</v>
      </c>
      <c r="G494" t="s">
        <v>2954</v>
      </c>
      <c r="H494" t="str">
        <f>INDEX([1]妻子表!$A:$A,MATCH(F494,[1]妻子表!$B:$B,0))</f>
        <v>M001049W01</v>
      </c>
      <c r="I494" t="str">
        <f>VLOOKUP(H494,[1]妻子表!$A:$D,4,0)</f>
        <v>王氏</v>
      </c>
      <c r="J494" t="s">
        <v>359</v>
      </c>
      <c r="M494" t="s">
        <v>3276</v>
      </c>
      <c r="N494" t="s">
        <v>1754</v>
      </c>
      <c r="O494" t="s">
        <v>3277</v>
      </c>
      <c r="P494" t="s">
        <v>315</v>
      </c>
      <c r="AA494" t="s">
        <v>3278</v>
      </c>
    </row>
    <row r="495" spans="1:27" x14ac:dyDescent="0.25">
      <c r="A495" t="s">
        <v>3279</v>
      </c>
      <c r="B495" t="s">
        <v>3280</v>
      </c>
      <c r="C495" t="s">
        <v>29</v>
      </c>
      <c r="D495" t="s">
        <v>1846</v>
      </c>
      <c r="E495" t="s">
        <v>2623</v>
      </c>
      <c r="F495" t="s">
        <v>2953</v>
      </c>
      <c r="G495" t="s">
        <v>2954</v>
      </c>
      <c r="H495" t="str">
        <f>INDEX([1]妻子表!$A:$A,MATCH(F495,[1]妻子表!$B:$B,0))</f>
        <v>M001049W01</v>
      </c>
      <c r="I495" t="str">
        <f>VLOOKUP(H495,[1]妻子表!$A:$D,4,0)</f>
        <v>王氏</v>
      </c>
      <c r="J495" t="s">
        <v>359</v>
      </c>
      <c r="M495" t="s">
        <v>3281</v>
      </c>
      <c r="N495" t="s">
        <v>2248</v>
      </c>
      <c r="O495" t="s">
        <v>3282</v>
      </c>
      <c r="P495" t="s">
        <v>601</v>
      </c>
      <c r="AA495" t="s">
        <v>3283</v>
      </c>
    </row>
    <row r="496" spans="1:27" x14ac:dyDescent="0.25">
      <c r="A496" t="s">
        <v>3284</v>
      </c>
      <c r="B496" t="s">
        <v>3285</v>
      </c>
      <c r="C496" t="s">
        <v>29</v>
      </c>
      <c r="D496" t="s">
        <v>1846</v>
      </c>
      <c r="E496" t="s">
        <v>2623</v>
      </c>
      <c r="F496" t="s">
        <v>2964</v>
      </c>
      <c r="G496" t="s">
        <v>2965</v>
      </c>
      <c r="H496" t="str">
        <f>INDEX([1]妻子表!$A:$A,MATCH(F496,[1]妻子表!$B:$B,0))</f>
        <v>M001050W01</v>
      </c>
      <c r="I496" t="str">
        <f>VLOOKUP(H496,[1]妻子表!$A:$D,4,0)</f>
        <v>李氏</v>
      </c>
      <c r="J496" t="s">
        <v>359</v>
      </c>
      <c r="K496" t="s">
        <v>3286</v>
      </c>
      <c r="M496" t="s">
        <v>3287</v>
      </c>
      <c r="N496" t="s">
        <v>2301</v>
      </c>
      <c r="O496" t="s">
        <v>3288</v>
      </c>
      <c r="P496" t="s">
        <v>224</v>
      </c>
      <c r="T496" s="2" t="s">
        <v>3289</v>
      </c>
      <c r="U496" t="s">
        <v>3290</v>
      </c>
      <c r="Y496" t="s">
        <v>1423</v>
      </c>
      <c r="AA496" t="s">
        <v>3291</v>
      </c>
    </row>
    <row r="497" spans="1:27" x14ac:dyDescent="0.25">
      <c r="A497" t="s">
        <v>3292</v>
      </c>
      <c r="B497" t="s">
        <v>3293</v>
      </c>
      <c r="C497" t="s">
        <v>29</v>
      </c>
      <c r="D497" t="s">
        <v>1846</v>
      </c>
      <c r="E497" t="s">
        <v>2623</v>
      </c>
      <c r="F497" t="s">
        <v>2964</v>
      </c>
      <c r="G497" t="s">
        <v>2965</v>
      </c>
      <c r="H497" t="str">
        <f>INDEX([1]妻子表!$A:$A,MATCH(F497,[1]妻子表!$B:$B,0))</f>
        <v>M001050W01</v>
      </c>
      <c r="I497" t="str">
        <f>VLOOKUP(H497,[1]妻子表!$A:$D,4,0)</f>
        <v>李氏</v>
      </c>
      <c r="J497" t="s">
        <v>359</v>
      </c>
      <c r="M497" t="s">
        <v>3294</v>
      </c>
      <c r="N497" t="s">
        <v>2998</v>
      </c>
      <c r="O497" t="s">
        <v>3295</v>
      </c>
      <c r="P497" t="s">
        <v>257</v>
      </c>
      <c r="AA497" t="s">
        <v>3296</v>
      </c>
    </row>
    <row r="498" spans="1:27" x14ac:dyDescent="0.25">
      <c r="A498" t="s">
        <v>3297</v>
      </c>
      <c r="B498" t="s">
        <v>3298</v>
      </c>
      <c r="C498" t="s">
        <v>29</v>
      </c>
      <c r="D498" t="s">
        <v>1846</v>
      </c>
      <c r="E498" t="s">
        <v>2623</v>
      </c>
      <c r="F498" t="s">
        <v>2964</v>
      </c>
      <c r="G498" t="s">
        <v>2965</v>
      </c>
      <c r="H498" t="str">
        <f>INDEX([1]妻子表!$A:$A,MATCH(F498,[1]妻子表!$B:$B,0))</f>
        <v>M001050W01</v>
      </c>
      <c r="I498" t="str">
        <f>VLOOKUP(H498,[1]妻子表!$A:$D,4,0)</f>
        <v>李氏</v>
      </c>
      <c r="J498" t="s">
        <v>359</v>
      </c>
      <c r="M498" t="s">
        <v>3299</v>
      </c>
      <c r="N498" t="s">
        <v>1868</v>
      </c>
      <c r="O498" t="s">
        <v>3300</v>
      </c>
      <c r="P498" t="s">
        <v>458</v>
      </c>
      <c r="AA498" t="s">
        <v>3301</v>
      </c>
    </row>
    <row r="499" spans="1:27" x14ac:dyDescent="0.25">
      <c r="A499" t="s">
        <v>3302</v>
      </c>
      <c r="B499" t="s">
        <v>3303</v>
      </c>
      <c r="C499" t="s">
        <v>29</v>
      </c>
      <c r="D499" t="s">
        <v>1846</v>
      </c>
      <c r="E499" t="s">
        <v>2623</v>
      </c>
      <c r="F499" t="s">
        <v>2983</v>
      </c>
      <c r="G499" t="s">
        <v>2984</v>
      </c>
      <c r="H499" t="str">
        <f>INDEX([1]妻子表!$A:$A,MATCH(F499,[1]妻子表!$B:$B,0))</f>
        <v>M001053W01</v>
      </c>
      <c r="I499" t="str">
        <f>VLOOKUP(H499,[1]妻子表!$A:$D,4,0)</f>
        <v>周氏</v>
      </c>
      <c r="J499" t="s">
        <v>359</v>
      </c>
      <c r="AA499" t="s">
        <v>2678</v>
      </c>
    </row>
    <row r="500" spans="1:27" x14ac:dyDescent="0.25">
      <c r="A500" t="s">
        <v>3304</v>
      </c>
      <c r="B500" t="s">
        <v>3305</v>
      </c>
      <c r="C500" t="s">
        <v>29</v>
      </c>
      <c r="D500" t="s">
        <v>1846</v>
      </c>
      <c r="E500" t="s">
        <v>2623</v>
      </c>
      <c r="F500" t="s">
        <v>2983</v>
      </c>
      <c r="G500" t="s">
        <v>2984</v>
      </c>
      <c r="H500" t="str">
        <f>INDEX([1]妻子表!$A:$A,MATCH(F500,[1]妻子表!$B:$B,0))</f>
        <v>M001053W01</v>
      </c>
      <c r="I500" t="str">
        <f>VLOOKUP(H500,[1]妻子表!$A:$D,4,0)</f>
        <v>周氏</v>
      </c>
      <c r="J500" t="s">
        <v>359</v>
      </c>
      <c r="K500" t="s">
        <v>2789</v>
      </c>
      <c r="L500" t="s">
        <v>374</v>
      </c>
      <c r="M500" t="s">
        <v>3306</v>
      </c>
      <c r="N500" t="s">
        <v>1658</v>
      </c>
      <c r="O500" t="s">
        <v>3307</v>
      </c>
      <c r="P500" t="s">
        <v>257</v>
      </c>
      <c r="Q500" t="s">
        <v>3308</v>
      </c>
      <c r="R500" t="s">
        <v>1168</v>
      </c>
      <c r="S500" t="s">
        <v>3309</v>
      </c>
      <c r="T500" s="2" t="s">
        <v>3310</v>
      </c>
      <c r="U500" t="s">
        <v>95</v>
      </c>
      <c r="AA500" t="s">
        <v>3311</v>
      </c>
    </row>
    <row r="501" spans="1:27" x14ac:dyDescent="0.25">
      <c r="A501" t="s">
        <v>3312</v>
      </c>
      <c r="B501" t="s">
        <v>3313</v>
      </c>
      <c r="C501" t="s">
        <v>29</v>
      </c>
      <c r="D501" t="s">
        <v>1846</v>
      </c>
      <c r="E501" t="s">
        <v>2623</v>
      </c>
      <c r="F501" t="s">
        <v>2983</v>
      </c>
      <c r="G501" t="s">
        <v>2984</v>
      </c>
      <c r="H501" t="str">
        <f>INDEX([1]妻子表!$A:$A,MATCH(F501,[1]妻子表!$B:$B,0))</f>
        <v>M001053W01</v>
      </c>
      <c r="I501" t="str">
        <f>VLOOKUP(H501,[1]妻子表!$A:$D,4,0)</f>
        <v>周氏</v>
      </c>
      <c r="J501" t="s">
        <v>359</v>
      </c>
      <c r="M501" t="s">
        <v>3314</v>
      </c>
      <c r="N501" t="s">
        <v>1024</v>
      </c>
      <c r="O501" t="s">
        <v>3315</v>
      </c>
      <c r="P501" t="s">
        <v>169</v>
      </c>
      <c r="T501" s="2" t="s">
        <v>3316</v>
      </c>
      <c r="U501" t="s">
        <v>95</v>
      </c>
      <c r="AA501" t="s">
        <v>3317</v>
      </c>
    </row>
    <row r="502" spans="1:27" x14ac:dyDescent="0.25">
      <c r="A502" t="s">
        <v>3318</v>
      </c>
      <c r="B502" t="s">
        <v>3319</v>
      </c>
      <c r="C502" t="s">
        <v>29</v>
      </c>
      <c r="D502" t="s">
        <v>1846</v>
      </c>
      <c r="E502" t="s">
        <v>2623</v>
      </c>
      <c r="F502" t="s">
        <v>2992</v>
      </c>
      <c r="G502" t="s">
        <v>2993</v>
      </c>
      <c r="H502" t="str">
        <f>INDEX([1]妻子表!$A:$A,MATCH(F502,[1]妻子表!$B:$B,0))</f>
        <v>M001054W01</v>
      </c>
      <c r="I502" t="str">
        <f>VLOOKUP(H502,[1]妻子表!$A:$D,4,0)</f>
        <v>刘氏</v>
      </c>
      <c r="J502" t="s">
        <v>359</v>
      </c>
      <c r="K502" t="s">
        <v>2651</v>
      </c>
      <c r="L502" t="s">
        <v>392</v>
      </c>
      <c r="M502" t="s">
        <v>3320</v>
      </c>
      <c r="N502" t="s">
        <v>1284</v>
      </c>
      <c r="O502" t="s">
        <v>3321</v>
      </c>
      <c r="P502" t="s">
        <v>497</v>
      </c>
      <c r="Q502" t="s">
        <v>3322</v>
      </c>
      <c r="R502" t="s">
        <v>2050</v>
      </c>
      <c r="S502" t="s">
        <v>3323</v>
      </c>
      <c r="T502" s="2" t="s">
        <v>3324</v>
      </c>
      <c r="U502" t="s">
        <v>215</v>
      </c>
      <c r="AA502" t="s">
        <v>3325</v>
      </c>
    </row>
    <row r="503" spans="1:27" x14ac:dyDescent="0.25">
      <c r="A503" t="s">
        <v>3326</v>
      </c>
      <c r="B503" t="s">
        <v>3327</v>
      </c>
      <c r="C503" t="s">
        <v>29</v>
      </c>
      <c r="D503" t="s">
        <v>1846</v>
      </c>
      <c r="E503" t="s">
        <v>2623</v>
      </c>
      <c r="F503" t="s">
        <v>2992</v>
      </c>
      <c r="G503" t="s">
        <v>2993</v>
      </c>
      <c r="H503" t="str">
        <f>INDEX([1]妻子表!$A:$A,MATCH(F503,[1]妻子表!$B:$B,0))</f>
        <v>M001054W01</v>
      </c>
      <c r="I503" t="str">
        <f>VLOOKUP(H503,[1]妻子表!$A:$D,4,0)</f>
        <v>刘氏</v>
      </c>
      <c r="J503" t="s">
        <v>359</v>
      </c>
      <c r="K503" t="s">
        <v>3005</v>
      </c>
      <c r="L503" t="s">
        <v>1656</v>
      </c>
      <c r="M503" t="s">
        <v>3328</v>
      </c>
      <c r="N503" t="s">
        <v>1658</v>
      </c>
      <c r="O503" t="s">
        <v>3329</v>
      </c>
      <c r="P503" t="s">
        <v>257</v>
      </c>
      <c r="Q503" t="s">
        <v>3330</v>
      </c>
      <c r="R503" t="s">
        <v>1233</v>
      </c>
      <c r="S503" t="s">
        <v>3331</v>
      </c>
      <c r="T503" s="2" t="s">
        <v>3332</v>
      </c>
      <c r="U503" t="s">
        <v>174</v>
      </c>
      <c r="AA503" t="s">
        <v>3333</v>
      </c>
    </row>
    <row r="504" spans="1:27" x14ac:dyDescent="0.25">
      <c r="A504" t="s">
        <v>3334</v>
      </c>
      <c r="B504" t="s">
        <v>3335</v>
      </c>
      <c r="C504" t="s">
        <v>29</v>
      </c>
      <c r="D504" t="s">
        <v>1846</v>
      </c>
      <c r="E504" t="s">
        <v>2623</v>
      </c>
      <c r="F504" t="s">
        <v>2992</v>
      </c>
      <c r="G504" t="s">
        <v>2993</v>
      </c>
      <c r="H504" t="str">
        <f>INDEX([1]妻子表!$A:$A,MATCH(F504,[1]妻子表!$B:$B,0))</f>
        <v>M001054W01</v>
      </c>
      <c r="I504" t="str">
        <f>VLOOKUP(H504,[1]妻子表!$A:$D,4,0)</f>
        <v>刘氏</v>
      </c>
      <c r="J504" t="s">
        <v>359</v>
      </c>
      <c r="K504" t="s">
        <v>2985</v>
      </c>
      <c r="M504" t="s">
        <v>3336</v>
      </c>
      <c r="N504" t="s">
        <v>1678</v>
      </c>
      <c r="O504" t="s">
        <v>3337</v>
      </c>
      <c r="P504" t="s">
        <v>315</v>
      </c>
      <c r="T504" s="2" t="s">
        <v>3338</v>
      </c>
      <c r="U504" t="s">
        <v>138</v>
      </c>
      <c r="AA504" t="s">
        <v>3339</v>
      </c>
    </row>
    <row r="505" spans="1:27" x14ac:dyDescent="0.25">
      <c r="A505" t="s">
        <v>3340</v>
      </c>
      <c r="B505" t="s">
        <v>3341</v>
      </c>
      <c r="C505" t="s">
        <v>29</v>
      </c>
      <c r="D505" t="s">
        <v>1846</v>
      </c>
      <c r="E505" t="s">
        <v>2623</v>
      </c>
      <c r="F505" t="s">
        <v>2992</v>
      </c>
      <c r="G505" t="s">
        <v>2993</v>
      </c>
      <c r="H505" t="str">
        <f>INDEX([1]妻子表!$A:$A,MATCH(F505,[1]妻子表!$B:$B,0))</f>
        <v>M001054W01</v>
      </c>
      <c r="I505" t="str">
        <f>VLOOKUP(H505,[1]妻子表!$A:$D,4,0)</f>
        <v>刘氏</v>
      </c>
      <c r="J505" t="s">
        <v>359</v>
      </c>
      <c r="K505" t="s">
        <v>3342</v>
      </c>
      <c r="L505" t="s">
        <v>1864</v>
      </c>
      <c r="M505" t="s">
        <v>3343</v>
      </c>
      <c r="N505" t="s">
        <v>1803</v>
      </c>
      <c r="O505" t="s">
        <v>3344</v>
      </c>
      <c r="P505" t="s">
        <v>240</v>
      </c>
      <c r="Q505" t="s">
        <v>3345</v>
      </c>
      <c r="R505" t="s">
        <v>2175</v>
      </c>
      <c r="S505" t="s">
        <v>3346</v>
      </c>
      <c r="T505" s="2" t="s">
        <v>3347</v>
      </c>
      <c r="U505" t="s">
        <v>174</v>
      </c>
      <c r="AA505" t="s">
        <v>3348</v>
      </c>
    </row>
    <row r="506" spans="1:27" x14ac:dyDescent="0.25">
      <c r="A506" t="s">
        <v>3349</v>
      </c>
      <c r="B506" t="s">
        <v>3350</v>
      </c>
      <c r="C506" t="s">
        <v>29</v>
      </c>
      <c r="D506" t="s">
        <v>1846</v>
      </c>
      <c r="E506" t="s">
        <v>2623</v>
      </c>
      <c r="F506" t="s">
        <v>3003</v>
      </c>
      <c r="G506" t="s">
        <v>3004</v>
      </c>
      <c r="H506" t="str">
        <f>INDEX([1]妻子表!$A:$A,MATCH(F506,[1]妻子表!$B:$B,0))</f>
        <v>M001055W01</v>
      </c>
      <c r="I506" t="str">
        <f>VLOOKUP(H506,[1]妻子表!$A:$D,4,0)</f>
        <v>龙氏</v>
      </c>
      <c r="J506" t="s">
        <v>359</v>
      </c>
      <c r="K506" t="s">
        <v>3351</v>
      </c>
      <c r="M506" t="s">
        <v>3352</v>
      </c>
      <c r="N506" t="s">
        <v>912</v>
      </c>
      <c r="O506" t="s">
        <v>3353</v>
      </c>
      <c r="P506" t="s">
        <v>407</v>
      </c>
      <c r="T506" s="2" t="s">
        <v>3354</v>
      </c>
      <c r="U506" t="s">
        <v>2071</v>
      </c>
      <c r="AA506" t="s">
        <v>3355</v>
      </c>
    </row>
    <row r="507" spans="1:27" x14ac:dyDescent="0.25">
      <c r="A507" t="s">
        <v>3356</v>
      </c>
      <c r="B507" t="s">
        <v>3357</v>
      </c>
      <c r="C507" t="s">
        <v>29</v>
      </c>
      <c r="D507" t="s">
        <v>1846</v>
      </c>
      <c r="E507" t="s">
        <v>2623</v>
      </c>
      <c r="F507" t="s">
        <v>3003</v>
      </c>
      <c r="G507" t="s">
        <v>3004</v>
      </c>
      <c r="H507" t="str">
        <f>INDEX([1]妻子表!$A:$A,MATCH(F507,[1]妻子表!$B:$B,0))</f>
        <v>M001055W01</v>
      </c>
      <c r="I507" t="str">
        <f>VLOOKUP(H507,[1]妻子表!$A:$D,4,0)</f>
        <v>龙氏</v>
      </c>
      <c r="J507" t="s">
        <v>359</v>
      </c>
      <c r="M507" t="s">
        <v>3358</v>
      </c>
      <c r="N507" t="s">
        <v>2015</v>
      </c>
      <c r="O507" t="s">
        <v>3359</v>
      </c>
      <c r="P507" t="s">
        <v>497</v>
      </c>
      <c r="T507" s="2" t="s">
        <v>3360</v>
      </c>
      <c r="U507" t="s">
        <v>942</v>
      </c>
      <c r="AA507" t="s">
        <v>3361</v>
      </c>
    </row>
    <row r="508" spans="1:27" x14ac:dyDescent="0.25">
      <c r="A508" t="s">
        <v>3362</v>
      </c>
      <c r="B508" t="s">
        <v>3363</v>
      </c>
      <c r="C508" t="s">
        <v>29</v>
      </c>
      <c r="D508" t="s">
        <v>1846</v>
      </c>
      <c r="E508" t="s">
        <v>2623</v>
      </c>
      <c r="F508" t="s">
        <v>3003</v>
      </c>
      <c r="G508" t="s">
        <v>3004</v>
      </c>
      <c r="H508" t="str">
        <f>INDEX([1]妻子表!$A:$A,MATCH(F508,[1]妻子表!$B:$B,0))</f>
        <v>M001055W01</v>
      </c>
      <c r="I508" t="str">
        <f>VLOOKUP(H508,[1]妻子表!$A:$D,4,0)</f>
        <v>龙氏</v>
      </c>
      <c r="J508" t="s">
        <v>359</v>
      </c>
      <c r="L508" t="s">
        <v>1075</v>
      </c>
      <c r="M508" t="s">
        <v>3364</v>
      </c>
      <c r="N508" t="s">
        <v>1377</v>
      </c>
      <c r="O508" t="s">
        <v>3365</v>
      </c>
      <c r="P508" t="s">
        <v>458</v>
      </c>
      <c r="Q508" t="s">
        <v>3366</v>
      </c>
      <c r="R508" t="s">
        <v>1295</v>
      </c>
      <c r="S508" t="s">
        <v>3367</v>
      </c>
      <c r="T508" s="2" t="s">
        <v>3368</v>
      </c>
      <c r="U508" t="s">
        <v>95</v>
      </c>
      <c r="AA508" t="s">
        <v>3369</v>
      </c>
    </row>
    <row r="509" spans="1:27" x14ac:dyDescent="0.25">
      <c r="A509" t="s">
        <v>3370</v>
      </c>
      <c r="B509" t="s">
        <v>3371</v>
      </c>
      <c r="C509" t="s">
        <v>29</v>
      </c>
      <c r="D509" t="s">
        <v>1846</v>
      </c>
      <c r="E509" t="s">
        <v>2623</v>
      </c>
      <c r="F509" t="s">
        <v>3003</v>
      </c>
      <c r="G509" t="s">
        <v>3004</v>
      </c>
      <c r="H509" t="str">
        <f>INDEX([1]妻子表!$A:$A,MATCH(F509,[1]妻子表!$B:$B,0))</f>
        <v>M001055W01</v>
      </c>
      <c r="I509" t="str">
        <f>VLOOKUP(H509,[1]妻子表!$A:$D,4,0)</f>
        <v>龙氏</v>
      </c>
      <c r="J509" t="s">
        <v>359</v>
      </c>
      <c r="M509" t="s">
        <v>3372</v>
      </c>
      <c r="N509" t="s">
        <v>1321</v>
      </c>
      <c r="O509" t="s">
        <v>3373</v>
      </c>
      <c r="P509" t="s">
        <v>257</v>
      </c>
      <c r="AA509" t="s">
        <v>3374</v>
      </c>
    </row>
    <row r="510" spans="1:27" x14ac:dyDescent="0.25">
      <c r="A510" t="s">
        <v>3375</v>
      </c>
      <c r="B510" t="s">
        <v>3376</v>
      </c>
      <c r="C510" t="s">
        <v>29</v>
      </c>
      <c r="D510" t="s">
        <v>1846</v>
      </c>
      <c r="E510" t="s">
        <v>2623</v>
      </c>
      <c r="F510" t="s">
        <v>3012</v>
      </c>
      <c r="G510" t="s">
        <v>3013</v>
      </c>
      <c r="H510" t="str">
        <f>INDEX([1]妻子表!$A:$A,MATCH(F510,[1]妻子表!$B:$B,0))</f>
        <v>M001056W01</v>
      </c>
      <c r="I510" t="str">
        <f>VLOOKUP(H510,[1]妻子表!$A:$D,4,0)</f>
        <v>王氏</v>
      </c>
      <c r="J510" t="s">
        <v>359</v>
      </c>
      <c r="K510" t="s">
        <v>1138</v>
      </c>
      <c r="M510" t="s">
        <v>3377</v>
      </c>
      <c r="N510" t="s">
        <v>1377</v>
      </c>
      <c r="O510" t="s">
        <v>3378</v>
      </c>
      <c r="P510" t="s">
        <v>458</v>
      </c>
      <c r="T510" s="2" t="s">
        <v>3379</v>
      </c>
      <c r="U510" t="s">
        <v>174</v>
      </c>
      <c r="AA510" t="s">
        <v>3380</v>
      </c>
    </row>
    <row r="511" spans="1:27" x14ac:dyDescent="0.25">
      <c r="A511" t="s">
        <v>3381</v>
      </c>
      <c r="B511" t="s">
        <v>3382</v>
      </c>
      <c r="C511" t="s">
        <v>29</v>
      </c>
      <c r="D511" t="s">
        <v>1846</v>
      </c>
      <c r="E511" t="s">
        <v>2623</v>
      </c>
      <c r="F511" t="s">
        <v>3012</v>
      </c>
      <c r="G511" t="s">
        <v>3013</v>
      </c>
      <c r="H511" t="str">
        <f>INDEX([1]妻子表!$A:$A,MATCH(F511,[1]妻子表!$B:$B,0))</f>
        <v>M001056W01</v>
      </c>
      <c r="I511" t="str">
        <f>VLOOKUP(H511,[1]妻子表!$A:$D,4,0)</f>
        <v>王氏</v>
      </c>
      <c r="J511" t="s">
        <v>359</v>
      </c>
      <c r="K511" t="s">
        <v>1138</v>
      </c>
      <c r="L511" t="s">
        <v>493</v>
      </c>
      <c r="M511" t="s">
        <v>3383</v>
      </c>
      <c r="N511" t="s">
        <v>1275</v>
      </c>
      <c r="O511" t="s">
        <v>3384</v>
      </c>
      <c r="P511" t="s">
        <v>601</v>
      </c>
      <c r="Q511" t="s">
        <v>3385</v>
      </c>
      <c r="R511" t="s">
        <v>1774</v>
      </c>
      <c r="S511" t="s">
        <v>3386</v>
      </c>
      <c r="T511" s="2" t="s">
        <v>3387</v>
      </c>
      <c r="U511" t="s">
        <v>942</v>
      </c>
      <c r="AA511" t="s">
        <v>3388</v>
      </c>
    </row>
    <row r="512" spans="1:27" x14ac:dyDescent="0.25">
      <c r="A512" t="s">
        <v>3389</v>
      </c>
      <c r="B512" t="s">
        <v>3390</v>
      </c>
      <c r="C512" t="s">
        <v>29</v>
      </c>
      <c r="D512" t="s">
        <v>1846</v>
      </c>
      <c r="E512" t="s">
        <v>2623</v>
      </c>
      <c r="F512" t="s">
        <v>3012</v>
      </c>
      <c r="G512" t="s">
        <v>3013</v>
      </c>
      <c r="H512" t="str">
        <f>INDEX([1]妻子表!$A:$A,MATCH(F512,[1]妻子表!$B:$B,0))</f>
        <v>M001056W01</v>
      </c>
      <c r="I512" t="str">
        <f>VLOOKUP(H512,[1]妻子表!$A:$D,4,0)</f>
        <v>王氏</v>
      </c>
      <c r="J512" t="s">
        <v>359</v>
      </c>
      <c r="M512" t="s">
        <v>3391</v>
      </c>
      <c r="N512" t="s">
        <v>1492</v>
      </c>
      <c r="O512" t="s">
        <v>3392</v>
      </c>
      <c r="P512" t="s">
        <v>240</v>
      </c>
      <c r="T512" s="2" t="s">
        <v>3393</v>
      </c>
      <c r="U512" t="s">
        <v>138</v>
      </c>
      <c r="AA512" t="s">
        <v>3394</v>
      </c>
    </row>
    <row r="513" spans="1:27" x14ac:dyDescent="0.25">
      <c r="A513" t="s">
        <v>3395</v>
      </c>
      <c r="B513" t="s">
        <v>3396</v>
      </c>
      <c r="C513" t="s">
        <v>29</v>
      </c>
      <c r="D513" t="s">
        <v>1846</v>
      </c>
      <c r="E513" t="s">
        <v>2623</v>
      </c>
      <c r="F513" t="s">
        <v>3021</v>
      </c>
      <c r="G513" t="s">
        <v>3022</v>
      </c>
      <c r="H513" t="str">
        <f>INDEX([1]妻子表!$A:$A,MATCH(F513,[1]妻子表!$B:$B,0))</f>
        <v>M001057W01</v>
      </c>
      <c r="I513" t="str">
        <f>VLOOKUP(H513,[1]妻子表!$A:$D,4,0)</f>
        <v>刘氏</v>
      </c>
      <c r="J513" t="s">
        <v>359</v>
      </c>
      <c r="K513" t="s">
        <v>3397</v>
      </c>
      <c r="L513" t="s">
        <v>825</v>
      </c>
      <c r="M513" t="s">
        <v>3398</v>
      </c>
      <c r="N513" t="s">
        <v>2015</v>
      </c>
      <c r="O513" t="s">
        <v>3399</v>
      </c>
      <c r="P513" t="s">
        <v>497</v>
      </c>
      <c r="Q513" t="s">
        <v>3400</v>
      </c>
      <c r="R513" t="s">
        <v>1640</v>
      </c>
      <c r="S513" t="s">
        <v>3401</v>
      </c>
      <c r="T513" s="2" t="s">
        <v>3402</v>
      </c>
      <c r="U513" t="s">
        <v>174</v>
      </c>
      <c r="AA513" t="s">
        <v>3403</v>
      </c>
    </row>
    <row r="514" spans="1:27" x14ac:dyDescent="0.25">
      <c r="A514" t="s">
        <v>3404</v>
      </c>
      <c r="B514" t="s">
        <v>3405</v>
      </c>
      <c r="C514" t="s">
        <v>29</v>
      </c>
      <c r="D514" t="s">
        <v>1846</v>
      </c>
      <c r="E514" t="s">
        <v>2623</v>
      </c>
      <c r="F514" t="s">
        <v>3021</v>
      </c>
      <c r="G514" t="s">
        <v>3022</v>
      </c>
      <c r="H514" t="str">
        <f>INDEX([1]妻子表!$A:$A,MATCH(F514,[1]妻子表!$B:$B,0))</f>
        <v>M001057W01</v>
      </c>
      <c r="I514" t="str">
        <f>VLOOKUP(H514,[1]妻子表!$A:$D,4,0)</f>
        <v>刘氏</v>
      </c>
      <c r="J514" t="s">
        <v>359</v>
      </c>
      <c r="M514" t="s">
        <v>3406</v>
      </c>
      <c r="N514" t="s">
        <v>972</v>
      </c>
      <c r="O514" t="s">
        <v>3407</v>
      </c>
      <c r="P514" t="s">
        <v>184</v>
      </c>
      <c r="AA514" t="s">
        <v>3408</v>
      </c>
    </row>
    <row r="515" spans="1:27" x14ac:dyDescent="0.25">
      <c r="A515" t="s">
        <v>3409</v>
      </c>
      <c r="B515" t="s">
        <v>3410</v>
      </c>
      <c r="C515" t="s">
        <v>29</v>
      </c>
      <c r="D515" t="s">
        <v>1846</v>
      </c>
      <c r="E515" t="s">
        <v>2623</v>
      </c>
      <c r="F515" t="s">
        <v>3021</v>
      </c>
      <c r="G515" t="s">
        <v>3022</v>
      </c>
      <c r="H515" t="str">
        <f>INDEX([1]妻子表!$A:$A,MATCH(F515,[1]妻子表!$B:$B,0))</f>
        <v>M001057W01</v>
      </c>
      <c r="I515" t="str">
        <f>VLOOKUP(H515,[1]妻子表!$A:$D,4,0)</f>
        <v>刘氏</v>
      </c>
      <c r="J515" t="s">
        <v>359</v>
      </c>
      <c r="M515" t="s">
        <v>3411</v>
      </c>
      <c r="N515" t="s">
        <v>1492</v>
      </c>
      <c r="O515" t="s">
        <v>3412</v>
      </c>
      <c r="P515" t="s">
        <v>240</v>
      </c>
      <c r="AA515" t="s">
        <v>3413</v>
      </c>
    </row>
    <row r="516" spans="1:27" x14ac:dyDescent="0.25">
      <c r="A516" t="s">
        <v>3414</v>
      </c>
      <c r="B516" t="s">
        <v>3415</v>
      </c>
      <c r="C516" t="s">
        <v>29</v>
      </c>
      <c r="D516" t="s">
        <v>1846</v>
      </c>
      <c r="E516" t="s">
        <v>2623</v>
      </c>
      <c r="F516" t="s">
        <v>3032</v>
      </c>
      <c r="G516" t="s">
        <v>3033</v>
      </c>
      <c r="H516" t="str">
        <f>INDEX([1]妻子表!$A:$A,MATCH(F516,[1]妻子表!$B:$B,0))</f>
        <v>M001059W01</v>
      </c>
      <c r="I516" t="str">
        <f>VLOOKUP(H516,[1]妻子表!$A:$D,4,0)</f>
        <v>刘氏</v>
      </c>
      <c r="J516" t="s">
        <v>359</v>
      </c>
      <c r="M516" t="s">
        <v>3416</v>
      </c>
      <c r="N516" t="s">
        <v>972</v>
      </c>
      <c r="O516" t="s">
        <v>3417</v>
      </c>
      <c r="P516" t="s">
        <v>184</v>
      </c>
      <c r="R516" t="s">
        <v>3418</v>
      </c>
      <c r="T516" s="2" t="s">
        <v>3419</v>
      </c>
      <c r="U516" t="s">
        <v>942</v>
      </c>
      <c r="AA516" t="s">
        <v>3420</v>
      </c>
    </row>
    <row r="517" spans="1:27" x14ac:dyDescent="0.25">
      <c r="A517" t="s">
        <v>3421</v>
      </c>
      <c r="B517" t="s">
        <v>3422</v>
      </c>
      <c r="C517" t="s">
        <v>29</v>
      </c>
      <c r="D517" t="s">
        <v>1846</v>
      </c>
      <c r="E517" t="s">
        <v>2623</v>
      </c>
      <c r="F517" t="s">
        <v>3041</v>
      </c>
      <c r="G517" t="s">
        <v>3042</v>
      </c>
      <c r="H517" t="str">
        <f>INDEX([1]妻子表!$A:$A,MATCH(F517,[1]妻子表!$B:$B,0))</f>
        <v>M001060W01</v>
      </c>
      <c r="I517" t="str">
        <f>VLOOKUP(H517,[1]妻子表!$A:$D,4,0)</f>
        <v>刘氏</v>
      </c>
      <c r="J517" t="s">
        <v>359</v>
      </c>
      <c r="M517" t="s">
        <v>3423</v>
      </c>
      <c r="N517" t="s">
        <v>830</v>
      </c>
      <c r="O517" t="s">
        <v>3424</v>
      </c>
      <c r="P517" t="s">
        <v>200</v>
      </c>
      <c r="AA517" t="s">
        <v>3425</v>
      </c>
    </row>
    <row r="518" spans="1:27" x14ac:dyDescent="0.25">
      <c r="A518" t="s">
        <v>3426</v>
      </c>
      <c r="B518" t="s">
        <v>3427</v>
      </c>
      <c r="C518" t="s">
        <v>29</v>
      </c>
      <c r="D518" t="s">
        <v>1846</v>
      </c>
      <c r="E518" t="s">
        <v>2623</v>
      </c>
      <c r="F518" t="s">
        <v>3041</v>
      </c>
      <c r="G518" t="s">
        <v>3042</v>
      </c>
      <c r="H518" t="str">
        <f>INDEX([1]妻子表!$A:$A,MATCH(F518,[1]妻子表!$B:$B,0))</f>
        <v>M001060W01</v>
      </c>
      <c r="I518" t="str">
        <f>VLOOKUP(H518,[1]妻子表!$A:$D,4,0)</f>
        <v>刘氏</v>
      </c>
      <c r="J518" t="s">
        <v>359</v>
      </c>
      <c r="M518" t="s">
        <v>3428</v>
      </c>
      <c r="N518" t="s">
        <v>2301</v>
      </c>
      <c r="O518" t="s">
        <v>3429</v>
      </c>
      <c r="P518" t="s">
        <v>224</v>
      </c>
      <c r="AA518" t="s">
        <v>3430</v>
      </c>
    </row>
    <row r="519" spans="1:27" x14ac:dyDescent="0.25">
      <c r="A519" t="s">
        <v>3431</v>
      </c>
      <c r="B519" t="s">
        <v>3432</v>
      </c>
      <c r="C519" t="s">
        <v>29</v>
      </c>
      <c r="D519" t="s">
        <v>1846</v>
      </c>
      <c r="E519" t="s">
        <v>2623</v>
      </c>
      <c r="F519" t="s">
        <v>3050</v>
      </c>
      <c r="G519" t="s">
        <v>3051</v>
      </c>
      <c r="H519" t="str">
        <f>INDEX([1]妻子表!$A:$A,MATCH(F519,[1]妻子表!$B:$B,0))</f>
        <v>M001061W01</v>
      </c>
      <c r="I519" t="str">
        <f>VLOOKUP(H519,[1]妻子表!$A:$D,4,0)</f>
        <v>王氏</v>
      </c>
      <c r="J519" t="s">
        <v>359</v>
      </c>
      <c r="M519" t="s">
        <v>3433</v>
      </c>
      <c r="N519" t="s">
        <v>1099</v>
      </c>
      <c r="O519" t="s">
        <v>3434</v>
      </c>
      <c r="P519" t="s">
        <v>315</v>
      </c>
      <c r="AA519" t="s">
        <v>3435</v>
      </c>
    </row>
    <row r="520" spans="1:27" x14ac:dyDescent="0.25">
      <c r="A520" t="s">
        <v>3436</v>
      </c>
      <c r="B520" t="s">
        <v>3437</v>
      </c>
      <c r="C520" t="s">
        <v>29</v>
      </c>
      <c r="D520" t="s">
        <v>1846</v>
      </c>
      <c r="E520" t="s">
        <v>2623</v>
      </c>
      <c r="F520" t="s">
        <v>3057</v>
      </c>
      <c r="G520" t="s">
        <v>3058</v>
      </c>
      <c r="H520" t="str">
        <f>INDEX([1]妻子表!$A:$A,MATCH(F520,[1]妻子表!$B:$B,0))</f>
        <v>M001062W01</v>
      </c>
      <c r="I520" t="str">
        <f>VLOOKUP(H520,[1]妻子表!$A:$D,4,0)</f>
        <v>刘氏</v>
      </c>
      <c r="J520" t="s">
        <v>359</v>
      </c>
      <c r="M520" t="s">
        <v>3438</v>
      </c>
      <c r="N520" t="s">
        <v>2044</v>
      </c>
      <c r="O520" t="s">
        <v>3439</v>
      </c>
      <c r="P520" t="s">
        <v>108</v>
      </c>
      <c r="T520" s="2" t="s">
        <v>3440</v>
      </c>
      <c r="U520" t="s">
        <v>3441</v>
      </c>
      <c r="AA520" t="s">
        <v>3442</v>
      </c>
    </row>
    <row r="521" spans="1:27" x14ac:dyDescent="0.25">
      <c r="A521" t="s">
        <v>3443</v>
      </c>
      <c r="B521" t="s">
        <v>3444</v>
      </c>
      <c r="C521" t="s">
        <v>29</v>
      </c>
      <c r="D521" t="s">
        <v>1846</v>
      </c>
      <c r="E521" t="s">
        <v>2623</v>
      </c>
      <c r="F521" t="s">
        <v>3057</v>
      </c>
      <c r="G521" t="s">
        <v>3058</v>
      </c>
      <c r="H521" t="str">
        <f>INDEX([1]妻子表!$A:$A,MATCH(F521,[1]妻子表!$B:$B,0))</f>
        <v>M001062W01</v>
      </c>
      <c r="I521" t="str">
        <f>VLOOKUP(H521,[1]妻子表!$A:$D,4,0)</f>
        <v>刘氏</v>
      </c>
      <c r="J521" t="s">
        <v>359</v>
      </c>
      <c r="M521" t="s">
        <v>3445</v>
      </c>
      <c r="N521" t="s">
        <v>1438</v>
      </c>
      <c r="O521" t="s">
        <v>3446</v>
      </c>
      <c r="P521" t="s">
        <v>601</v>
      </c>
      <c r="T521" s="2" t="s">
        <v>3447</v>
      </c>
      <c r="U521" t="s">
        <v>3448</v>
      </c>
      <c r="AA521" t="s">
        <v>3449</v>
      </c>
    </row>
    <row r="522" spans="1:27" x14ac:dyDescent="0.25">
      <c r="A522" t="s">
        <v>3450</v>
      </c>
      <c r="B522" t="s">
        <v>3451</v>
      </c>
      <c r="C522" t="s">
        <v>29</v>
      </c>
      <c r="D522" t="s">
        <v>1846</v>
      </c>
      <c r="E522" t="s">
        <v>2623</v>
      </c>
      <c r="F522" t="s">
        <v>3057</v>
      </c>
      <c r="G522" t="s">
        <v>3058</v>
      </c>
      <c r="H522" t="str">
        <f>INDEX([1]妻子表!$A:$A,MATCH(F522,[1]妻子表!$B:$B,0))</f>
        <v>M001062W01</v>
      </c>
      <c r="I522" t="str">
        <f>VLOOKUP(H522,[1]妻子表!$A:$D,4,0)</f>
        <v>刘氏</v>
      </c>
      <c r="J522" t="s">
        <v>359</v>
      </c>
      <c r="M522" t="s">
        <v>3452</v>
      </c>
      <c r="N522" t="s">
        <v>1502</v>
      </c>
      <c r="O522" t="s">
        <v>3453</v>
      </c>
      <c r="P522" t="s">
        <v>497</v>
      </c>
      <c r="AA522" t="s">
        <v>3454</v>
      </c>
    </row>
    <row r="523" spans="1:27" x14ac:dyDescent="0.25">
      <c r="A523" t="s">
        <v>3455</v>
      </c>
      <c r="B523" t="s">
        <v>3456</v>
      </c>
      <c r="C523" t="s">
        <v>29</v>
      </c>
      <c r="D523" t="s">
        <v>1846</v>
      </c>
      <c r="E523" t="s">
        <v>2623</v>
      </c>
      <c r="F523" t="s">
        <v>3057</v>
      </c>
      <c r="G523" t="s">
        <v>3058</v>
      </c>
      <c r="H523" t="str">
        <f>INDEX([1]妻子表!$A:$A,MATCH(F523,[1]妻子表!$B:$B,0))</f>
        <v>M001062W01</v>
      </c>
      <c r="I523" t="str">
        <f>VLOOKUP(H523,[1]妻子表!$A:$D,4,0)</f>
        <v>刘氏</v>
      </c>
      <c r="J523" t="s">
        <v>359</v>
      </c>
      <c r="M523" t="s">
        <v>3457</v>
      </c>
      <c r="N523" t="s">
        <v>1687</v>
      </c>
      <c r="O523" t="s">
        <v>3458</v>
      </c>
      <c r="P523" t="s">
        <v>108</v>
      </c>
      <c r="T523" s="2" t="s">
        <v>3459</v>
      </c>
      <c r="U523" t="s">
        <v>3460</v>
      </c>
      <c r="AA523" t="s">
        <v>3461</v>
      </c>
    </row>
    <row r="524" spans="1:27" x14ac:dyDescent="0.25">
      <c r="A524" t="s">
        <v>3462</v>
      </c>
      <c r="B524" t="s">
        <v>3463</v>
      </c>
      <c r="C524" t="s">
        <v>29</v>
      </c>
      <c r="D524" t="s">
        <v>1846</v>
      </c>
      <c r="E524" t="s">
        <v>2623</v>
      </c>
      <c r="F524" t="s">
        <v>3065</v>
      </c>
      <c r="G524" t="s">
        <v>3066</v>
      </c>
      <c r="H524" t="str">
        <f>INDEX([1]妻子表!$A:$A,MATCH(F524,[1]妻子表!$B:$B,0))</f>
        <v>M001063W01</v>
      </c>
      <c r="I524" t="str">
        <f>VLOOKUP(H524,[1]妻子表!$A:$D,4,0)</f>
        <v>李氏</v>
      </c>
      <c r="J524" t="s">
        <v>359</v>
      </c>
      <c r="M524" t="s">
        <v>3464</v>
      </c>
      <c r="N524" t="s">
        <v>1987</v>
      </c>
      <c r="O524" t="s">
        <v>3465</v>
      </c>
      <c r="P524" t="s">
        <v>184</v>
      </c>
      <c r="AA524" t="s">
        <v>3466</v>
      </c>
    </row>
    <row r="525" spans="1:27" x14ac:dyDescent="0.25">
      <c r="A525" t="s">
        <v>3467</v>
      </c>
      <c r="B525" t="s">
        <v>3468</v>
      </c>
      <c r="C525" t="s">
        <v>29</v>
      </c>
      <c r="D525" t="s">
        <v>1846</v>
      </c>
      <c r="E525" t="s">
        <v>2623</v>
      </c>
      <c r="F525" t="s">
        <v>3065</v>
      </c>
      <c r="G525" t="s">
        <v>3066</v>
      </c>
      <c r="H525" t="str">
        <f>INDEX([1]妻子表!$A:$A,MATCH(F525,[1]妻子表!$B:$B,0))</f>
        <v>M001063W01</v>
      </c>
      <c r="I525" t="str">
        <f>VLOOKUP(H525,[1]妻子表!$A:$D,4,0)</f>
        <v>李氏</v>
      </c>
      <c r="J525" t="s">
        <v>359</v>
      </c>
      <c r="M525" t="s">
        <v>3469</v>
      </c>
      <c r="N525" t="s">
        <v>1502</v>
      </c>
      <c r="O525" t="s">
        <v>3470</v>
      </c>
      <c r="P525" t="s">
        <v>497</v>
      </c>
      <c r="AA525" t="s">
        <v>3471</v>
      </c>
    </row>
    <row r="526" spans="1:27" x14ac:dyDescent="0.25">
      <c r="A526" t="s">
        <v>3472</v>
      </c>
      <c r="B526" t="s">
        <v>3473</v>
      </c>
      <c r="C526" t="s">
        <v>29</v>
      </c>
      <c r="D526" t="s">
        <v>1846</v>
      </c>
      <c r="E526" t="s">
        <v>2623</v>
      </c>
      <c r="F526" t="s">
        <v>3073</v>
      </c>
      <c r="G526" t="s">
        <v>3074</v>
      </c>
      <c r="H526" t="str">
        <f>INDEX([1]妻子表!$A:$A,MATCH(F526,[1]妻子表!$B:$B,0))</f>
        <v>M001064W01</v>
      </c>
      <c r="I526" t="str">
        <f>VLOOKUP(H526,[1]妻子表!$A:$D,4,0)</f>
        <v>刘氏</v>
      </c>
      <c r="J526" t="s">
        <v>359</v>
      </c>
      <c r="M526" t="s">
        <v>3474</v>
      </c>
      <c r="N526" t="s">
        <v>1377</v>
      </c>
      <c r="O526" t="s">
        <v>3475</v>
      </c>
      <c r="P526" t="s">
        <v>458</v>
      </c>
      <c r="T526" s="2" t="s">
        <v>3476</v>
      </c>
      <c r="U526" t="s">
        <v>952</v>
      </c>
      <c r="AA526" t="s">
        <v>3477</v>
      </c>
    </row>
    <row r="527" spans="1:27" x14ac:dyDescent="0.25">
      <c r="A527" t="s">
        <v>3478</v>
      </c>
      <c r="B527" t="s">
        <v>3479</v>
      </c>
      <c r="C527" t="s">
        <v>29</v>
      </c>
      <c r="D527" t="s">
        <v>1846</v>
      </c>
      <c r="E527" t="s">
        <v>2623</v>
      </c>
      <c r="F527" t="s">
        <v>3073</v>
      </c>
      <c r="G527" t="s">
        <v>3074</v>
      </c>
      <c r="H527" t="str">
        <f>INDEX([1]妻子表!$A:$A,MATCH(F527,[1]妻子表!$B:$B,0))</f>
        <v>M001064W01</v>
      </c>
      <c r="I527" t="str">
        <f>VLOOKUP(H527,[1]妻子表!$A:$D,4,0)</f>
        <v>刘氏</v>
      </c>
      <c r="J527" t="s">
        <v>359</v>
      </c>
      <c r="L527" t="s">
        <v>614</v>
      </c>
      <c r="M527" t="s">
        <v>3480</v>
      </c>
      <c r="N527" t="s">
        <v>1047</v>
      </c>
      <c r="O527" t="s">
        <v>3481</v>
      </c>
      <c r="P527" t="s">
        <v>200</v>
      </c>
      <c r="Q527" t="s">
        <v>3482</v>
      </c>
      <c r="R527" t="s">
        <v>2162</v>
      </c>
      <c r="S527" t="s">
        <v>3483</v>
      </c>
      <c r="AA527" t="s">
        <v>3484</v>
      </c>
    </row>
    <row r="528" spans="1:27" x14ac:dyDescent="0.25">
      <c r="A528" t="s">
        <v>3485</v>
      </c>
      <c r="B528" t="s">
        <v>3486</v>
      </c>
      <c r="C528" t="s">
        <v>29</v>
      </c>
      <c r="D528" t="s">
        <v>1846</v>
      </c>
      <c r="E528" t="s">
        <v>2623</v>
      </c>
      <c r="F528" t="s">
        <v>3073</v>
      </c>
      <c r="G528" t="s">
        <v>3074</v>
      </c>
      <c r="H528" t="str">
        <f>INDEX([1]妻子表!$A:$A,MATCH(F528,[1]妻子表!$B:$B,0))</f>
        <v>M001064W01</v>
      </c>
      <c r="I528" t="str">
        <f>VLOOKUP(H528,[1]妻子表!$A:$D,4,0)</f>
        <v>刘氏</v>
      </c>
      <c r="J528" t="s">
        <v>359</v>
      </c>
      <c r="L528" t="s">
        <v>870</v>
      </c>
      <c r="M528" t="s">
        <v>3487</v>
      </c>
      <c r="N528" t="s">
        <v>2044</v>
      </c>
      <c r="O528" t="s">
        <v>3488</v>
      </c>
      <c r="P528" t="s">
        <v>108</v>
      </c>
      <c r="Q528" t="s">
        <v>3489</v>
      </c>
      <c r="R528" t="s">
        <v>3037</v>
      </c>
      <c r="S528" t="s">
        <v>3091</v>
      </c>
      <c r="AA528" t="s">
        <v>3490</v>
      </c>
    </row>
    <row r="529" spans="1:27" x14ac:dyDescent="0.25">
      <c r="A529" t="s">
        <v>3491</v>
      </c>
      <c r="B529" t="s">
        <v>3492</v>
      </c>
      <c r="C529" t="s">
        <v>29</v>
      </c>
      <c r="D529" t="s">
        <v>1846</v>
      </c>
      <c r="E529" t="s">
        <v>2623</v>
      </c>
      <c r="F529" t="s">
        <v>3081</v>
      </c>
      <c r="G529" t="s">
        <v>3082</v>
      </c>
      <c r="H529" t="str">
        <f>INDEX([1]妻子表!$A:$A,MATCH(F529,[1]妻子表!$B:$B,0))</f>
        <v>M001065W01</v>
      </c>
      <c r="I529" t="str">
        <f>VLOOKUP(H529,[1]妻子表!$A:$D,4,0)</f>
        <v>刘氏</v>
      </c>
      <c r="J529" t="s">
        <v>359</v>
      </c>
      <c r="M529" t="s">
        <v>3493</v>
      </c>
      <c r="N529" t="s">
        <v>2044</v>
      </c>
      <c r="O529" t="s">
        <v>3494</v>
      </c>
      <c r="P529" t="s">
        <v>108</v>
      </c>
      <c r="T529" s="2" t="s">
        <v>3495</v>
      </c>
      <c r="U529" t="s">
        <v>744</v>
      </c>
      <c r="AA529" t="s">
        <v>3496</v>
      </c>
    </row>
    <row r="530" spans="1:27" x14ac:dyDescent="0.25">
      <c r="A530" t="s">
        <v>3497</v>
      </c>
      <c r="B530" t="s">
        <v>3498</v>
      </c>
      <c r="C530" t="s">
        <v>29</v>
      </c>
      <c r="D530" t="s">
        <v>1846</v>
      </c>
      <c r="E530" t="s">
        <v>2623</v>
      </c>
      <c r="F530" t="s">
        <v>3081</v>
      </c>
      <c r="G530" t="s">
        <v>3082</v>
      </c>
      <c r="H530" t="str">
        <f>INDEX([1]妻子表!$A:$A,MATCH(F530,[1]妻子表!$B:$B,0))</f>
        <v>M001065W01</v>
      </c>
      <c r="I530" t="str">
        <f>VLOOKUP(H530,[1]妻子表!$A:$D,4,0)</f>
        <v>刘氏</v>
      </c>
      <c r="J530" t="s">
        <v>359</v>
      </c>
      <c r="M530" t="s">
        <v>3499</v>
      </c>
      <c r="N530" t="s">
        <v>1266</v>
      </c>
      <c r="O530" t="s">
        <v>3500</v>
      </c>
      <c r="P530" t="s">
        <v>240</v>
      </c>
      <c r="AA530" t="s">
        <v>3501</v>
      </c>
    </row>
    <row r="531" spans="1:27" x14ac:dyDescent="0.25">
      <c r="A531" t="s">
        <v>3502</v>
      </c>
      <c r="B531" t="s">
        <v>3503</v>
      </c>
      <c r="C531" t="s">
        <v>29</v>
      </c>
      <c r="D531" t="s">
        <v>1846</v>
      </c>
      <c r="E531" t="s">
        <v>2623</v>
      </c>
      <c r="F531" t="s">
        <v>3081</v>
      </c>
      <c r="G531" t="s">
        <v>3082</v>
      </c>
      <c r="H531" t="str">
        <f>INDEX([1]妻子表!$A:$A,MATCH(F531,[1]妻子表!$B:$B,0))</f>
        <v>M001065W01</v>
      </c>
      <c r="I531" t="str">
        <f>VLOOKUP(H531,[1]妻子表!$A:$D,4,0)</f>
        <v>刘氏</v>
      </c>
      <c r="J531" t="s">
        <v>359</v>
      </c>
      <c r="M531" t="s">
        <v>3504</v>
      </c>
      <c r="N531" t="s">
        <v>1994</v>
      </c>
      <c r="O531" t="s">
        <v>3505</v>
      </c>
      <c r="P531" t="s">
        <v>200</v>
      </c>
      <c r="AA531" t="s">
        <v>3506</v>
      </c>
    </row>
    <row r="532" spans="1:27" x14ac:dyDescent="0.25">
      <c r="A532" t="s">
        <v>3507</v>
      </c>
      <c r="B532" t="s">
        <v>3508</v>
      </c>
      <c r="C532" t="s">
        <v>29</v>
      </c>
      <c r="D532" t="s">
        <v>1846</v>
      </c>
      <c r="E532" t="s">
        <v>2623</v>
      </c>
      <c r="F532" t="s">
        <v>3088</v>
      </c>
      <c r="G532" t="s">
        <v>3089</v>
      </c>
      <c r="H532" t="str">
        <f>INDEX([1]妻子表!$A:$A,MATCH(F532,[1]妻子表!$B:$B,0))</f>
        <v>M001066W01</v>
      </c>
      <c r="I532" t="str">
        <f>VLOOKUP(H532,[1]妻子表!$A:$D,4,0)</f>
        <v>胡氏</v>
      </c>
      <c r="J532" t="s">
        <v>359</v>
      </c>
      <c r="M532" t="s">
        <v>3509</v>
      </c>
      <c r="N532" t="s">
        <v>830</v>
      </c>
      <c r="O532" t="s">
        <v>3510</v>
      </c>
      <c r="P532" t="s">
        <v>200</v>
      </c>
      <c r="T532" s="2" t="s">
        <v>3511</v>
      </c>
      <c r="U532" t="s">
        <v>485</v>
      </c>
      <c r="AA532" t="s">
        <v>3512</v>
      </c>
    </row>
    <row r="533" spans="1:27" x14ac:dyDescent="0.25">
      <c r="A533" t="s">
        <v>3513</v>
      </c>
      <c r="B533" t="s">
        <v>3514</v>
      </c>
      <c r="C533" t="s">
        <v>29</v>
      </c>
      <c r="D533" t="s">
        <v>1846</v>
      </c>
      <c r="E533" t="s">
        <v>2623</v>
      </c>
      <c r="F533" t="s">
        <v>3097</v>
      </c>
      <c r="G533" t="s">
        <v>3098</v>
      </c>
      <c r="H533" t="str">
        <f>INDEX([1]妻子表!$A:$A,MATCH(F533,[1]妻子表!$B:$B,0))</f>
        <v>M001067W01</v>
      </c>
      <c r="I533" t="str">
        <f>VLOOKUP(H533,[1]妻子表!$A:$D,4,0)</f>
        <v>肖氏</v>
      </c>
      <c r="J533" t="s">
        <v>359</v>
      </c>
      <c r="M533" t="s">
        <v>3515</v>
      </c>
      <c r="N533" t="s">
        <v>2044</v>
      </c>
      <c r="O533" t="s">
        <v>3516</v>
      </c>
      <c r="P533" t="s">
        <v>108</v>
      </c>
      <c r="AA533" t="s">
        <v>3517</v>
      </c>
    </row>
    <row r="534" spans="1:27" x14ac:dyDescent="0.25">
      <c r="A534" t="s">
        <v>3518</v>
      </c>
      <c r="B534" t="s">
        <v>3519</v>
      </c>
      <c r="C534" t="s">
        <v>29</v>
      </c>
      <c r="D534" t="s">
        <v>1846</v>
      </c>
      <c r="E534" t="s">
        <v>2623</v>
      </c>
      <c r="F534" t="s">
        <v>3097</v>
      </c>
      <c r="G534" t="s">
        <v>3098</v>
      </c>
      <c r="H534" t="str">
        <f>INDEX([1]妻子表!$A:$A,MATCH(F534,[1]妻子表!$B:$B,0))</f>
        <v>M001067W01</v>
      </c>
      <c r="I534" t="str">
        <f>VLOOKUP(H534,[1]妻子表!$A:$D,4,0)</f>
        <v>肖氏</v>
      </c>
      <c r="J534" t="s">
        <v>359</v>
      </c>
      <c r="M534" t="s">
        <v>3520</v>
      </c>
      <c r="N534" t="s">
        <v>1987</v>
      </c>
      <c r="O534" t="s">
        <v>3521</v>
      </c>
      <c r="P534" t="s">
        <v>184</v>
      </c>
      <c r="AA534" t="s">
        <v>3522</v>
      </c>
    </row>
    <row r="535" spans="1:27" x14ac:dyDescent="0.25">
      <c r="A535" t="s">
        <v>3523</v>
      </c>
      <c r="B535" t="s">
        <v>3524</v>
      </c>
      <c r="C535" t="s">
        <v>29</v>
      </c>
      <c r="D535" t="s">
        <v>1846</v>
      </c>
      <c r="E535" t="s">
        <v>2623</v>
      </c>
      <c r="F535" t="s">
        <v>3097</v>
      </c>
      <c r="G535" t="s">
        <v>3098</v>
      </c>
      <c r="H535" t="str">
        <f>INDEX([1]妻子表!$A:$A,MATCH(F535,[1]妻子表!$B:$B,0))</f>
        <v>M001067W01</v>
      </c>
      <c r="I535" t="str">
        <f>VLOOKUP(H535,[1]妻子表!$A:$D,4,0)</f>
        <v>肖氏</v>
      </c>
      <c r="J535" t="s">
        <v>359</v>
      </c>
      <c r="M535" t="s">
        <v>3525</v>
      </c>
      <c r="N535" t="s">
        <v>1790</v>
      </c>
      <c r="O535" t="s">
        <v>3526</v>
      </c>
      <c r="P535" t="s">
        <v>257</v>
      </c>
      <c r="AA535" t="s">
        <v>3527</v>
      </c>
    </row>
    <row r="536" spans="1:27" x14ac:dyDescent="0.25">
      <c r="A536" t="s">
        <v>3528</v>
      </c>
      <c r="B536" t="s">
        <v>3529</v>
      </c>
      <c r="C536" t="s">
        <v>29</v>
      </c>
      <c r="D536" t="s">
        <v>1846</v>
      </c>
      <c r="E536" t="s">
        <v>2623</v>
      </c>
      <c r="F536" t="s">
        <v>3097</v>
      </c>
      <c r="G536" t="s">
        <v>3098</v>
      </c>
      <c r="H536" t="str">
        <f>INDEX([1]妻子表!$A:$A,MATCH(F536,[1]妻子表!$B:$B,0))</f>
        <v>M001067W01</v>
      </c>
      <c r="I536" t="str">
        <f>VLOOKUP(H536,[1]妻子表!$A:$D,4,0)</f>
        <v>肖氏</v>
      </c>
      <c r="J536" t="s">
        <v>359</v>
      </c>
      <c r="M536" t="s">
        <v>3530</v>
      </c>
      <c r="N536" t="s">
        <v>2162</v>
      </c>
      <c r="O536" t="s">
        <v>3531</v>
      </c>
      <c r="P536" t="s">
        <v>601</v>
      </c>
      <c r="AA536" t="s">
        <v>3532</v>
      </c>
    </row>
    <row r="537" spans="1:27" x14ac:dyDescent="0.25">
      <c r="A537" t="s">
        <v>3533</v>
      </c>
      <c r="B537" t="s">
        <v>3534</v>
      </c>
      <c r="C537" t="s">
        <v>29</v>
      </c>
      <c r="D537" t="s">
        <v>1846</v>
      </c>
      <c r="E537" t="s">
        <v>2623</v>
      </c>
      <c r="F537" t="s">
        <v>3111</v>
      </c>
      <c r="G537" t="s">
        <v>3112</v>
      </c>
      <c r="H537" t="str">
        <f>INDEX([1]妻子表!$A:$A,MATCH(F537,[1]妻子表!$B:$B,0))</f>
        <v>M001069W01</v>
      </c>
      <c r="I537" t="str">
        <f>VLOOKUP(H537,[1]妻子表!$A:$D,4,0)</f>
        <v>毛氏</v>
      </c>
      <c r="J537" t="s">
        <v>359</v>
      </c>
      <c r="M537" t="s">
        <v>3535</v>
      </c>
      <c r="N537" t="s">
        <v>1897</v>
      </c>
      <c r="O537" t="s">
        <v>3536</v>
      </c>
      <c r="P537" t="s">
        <v>108</v>
      </c>
      <c r="AA537" t="s">
        <v>3537</v>
      </c>
    </row>
    <row r="538" spans="1:27" x14ac:dyDescent="0.25">
      <c r="A538" t="s">
        <v>3538</v>
      </c>
      <c r="B538" t="s">
        <v>3539</v>
      </c>
      <c r="C538" t="s">
        <v>29</v>
      </c>
      <c r="D538" t="s">
        <v>1846</v>
      </c>
      <c r="E538" t="s">
        <v>2623</v>
      </c>
      <c r="F538" t="s">
        <v>3111</v>
      </c>
      <c r="G538" t="s">
        <v>3112</v>
      </c>
      <c r="H538" t="str">
        <f>INDEX([1]妻子表!$A:$A,MATCH(F538,[1]妻子表!$B:$B,0))</f>
        <v>M001069W01</v>
      </c>
      <c r="I538" t="str">
        <f>VLOOKUP(H538,[1]妻子表!$A:$D,4,0)</f>
        <v>毛氏</v>
      </c>
      <c r="J538" t="s">
        <v>359</v>
      </c>
      <c r="M538" t="s">
        <v>3540</v>
      </c>
      <c r="N538" t="s">
        <v>1897</v>
      </c>
      <c r="O538" t="s">
        <v>3541</v>
      </c>
      <c r="P538" t="s">
        <v>108</v>
      </c>
      <c r="AA538" t="s">
        <v>3542</v>
      </c>
    </row>
    <row r="539" spans="1:27" x14ac:dyDescent="0.25">
      <c r="A539" t="s">
        <v>3543</v>
      </c>
      <c r="B539" t="s">
        <v>3544</v>
      </c>
      <c r="C539" t="s">
        <v>29</v>
      </c>
      <c r="D539" t="s">
        <v>1846</v>
      </c>
      <c r="E539" t="s">
        <v>2623</v>
      </c>
      <c r="F539" t="s">
        <v>3120</v>
      </c>
      <c r="G539" t="s">
        <v>3121</v>
      </c>
      <c r="H539" t="str">
        <f>INDEX([1]妻子表!$A:$A,MATCH(F539,[1]妻子表!$B:$B,0))</f>
        <v>M001070W01</v>
      </c>
      <c r="I539" t="str">
        <f>VLOOKUP(H539,[1]妻子表!$A:$D,4,0)</f>
        <v>刘氏</v>
      </c>
      <c r="J539" t="s">
        <v>359</v>
      </c>
      <c r="M539" t="s">
        <v>3545</v>
      </c>
      <c r="N539" t="s">
        <v>1687</v>
      </c>
      <c r="O539" t="s">
        <v>3546</v>
      </c>
      <c r="P539" t="s">
        <v>108</v>
      </c>
      <c r="AA539" t="s">
        <v>3547</v>
      </c>
    </row>
    <row r="540" spans="1:27" x14ac:dyDescent="0.25">
      <c r="A540" t="s">
        <v>3548</v>
      </c>
      <c r="B540" t="s">
        <v>3549</v>
      </c>
      <c r="C540" t="s">
        <v>29</v>
      </c>
      <c r="D540" t="s">
        <v>1846</v>
      </c>
      <c r="E540" t="s">
        <v>2623</v>
      </c>
      <c r="F540" t="s">
        <v>3120</v>
      </c>
      <c r="G540" t="s">
        <v>3121</v>
      </c>
      <c r="H540" t="str">
        <f>INDEX([1]妻子表!$A:$A,MATCH(F540,[1]妻子表!$B:$B,0))</f>
        <v>M001070W01</v>
      </c>
      <c r="I540" t="str">
        <f>VLOOKUP(H540,[1]妻子表!$A:$D,4,0)</f>
        <v>刘氏</v>
      </c>
      <c r="J540" t="s">
        <v>359</v>
      </c>
      <c r="M540" t="s">
        <v>3550</v>
      </c>
      <c r="N540" t="s">
        <v>2162</v>
      </c>
      <c r="O540" t="s">
        <v>3551</v>
      </c>
      <c r="P540" t="s">
        <v>601</v>
      </c>
      <c r="AA540" t="s">
        <v>3552</v>
      </c>
    </row>
    <row r="541" spans="1:27" x14ac:dyDescent="0.25">
      <c r="A541" t="s">
        <v>3553</v>
      </c>
      <c r="B541" t="s">
        <v>3554</v>
      </c>
      <c r="C541" t="s">
        <v>29</v>
      </c>
      <c r="D541" t="s">
        <v>1846</v>
      </c>
      <c r="E541" t="s">
        <v>2623</v>
      </c>
      <c r="F541" t="s">
        <v>3126</v>
      </c>
      <c r="G541" t="s">
        <v>3127</v>
      </c>
      <c r="H541" t="str">
        <f>INDEX([1]妻子表!$A:$A,MATCH(F541,[1]妻子表!$B:$B,0))</f>
        <v>M001071W01</v>
      </c>
      <c r="I541" t="str">
        <f>VLOOKUP(H541,[1]妻子表!$A:$D,4,0)</f>
        <v>肖氏</v>
      </c>
      <c r="J541" t="s">
        <v>359</v>
      </c>
      <c r="O541" t="s">
        <v>3085</v>
      </c>
      <c r="AA541" t="s">
        <v>3555</v>
      </c>
    </row>
    <row r="542" spans="1:27" x14ac:dyDescent="0.25">
      <c r="A542" t="s">
        <v>3556</v>
      </c>
      <c r="B542" t="s">
        <v>3557</v>
      </c>
      <c r="C542" t="s">
        <v>29</v>
      </c>
      <c r="D542" t="s">
        <v>1911</v>
      </c>
      <c r="E542" t="s">
        <v>2623</v>
      </c>
      <c r="F542" t="s">
        <v>3143</v>
      </c>
      <c r="G542" t="s">
        <v>3144</v>
      </c>
      <c r="H542" t="str">
        <f>INDEX([1]妻子表!$A:$A,MATCH(F542,[1]妻子表!$B:$B,0))</f>
        <v>M001076W01</v>
      </c>
      <c r="I542" t="str">
        <f>VLOOKUP(H542,[1]妻子表!$A:$D,4,0)</f>
        <v>刘氏</v>
      </c>
      <c r="J542" t="s">
        <v>359</v>
      </c>
      <c r="M542" t="s">
        <v>3558</v>
      </c>
      <c r="N542" t="s">
        <v>2018</v>
      </c>
      <c r="O542" t="s">
        <v>3559</v>
      </c>
      <c r="P542" t="s">
        <v>458</v>
      </c>
      <c r="AA542" t="s">
        <v>3560</v>
      </c>
    </row>
    <row r="543" spans="1:27" x14ac:dyDescent="0.25">
      <c r="A543" t="s">
        <v>3561</v>
      </c>
      <c r="B543" t="s">
        <v>3562</v>
      </c>
      <c r="C543" t="s">
        <v>29</v>
      </c>
      <c r="D543" t="s">
        <v>1911</v>
      </c>
      <c r="E543" t="s">
        <v>2623</v>
      </c>
      <c r="F543" t="s">
        <v>3165</v>
      </c>
      <c r="G543" t="s">
        <v>3166</v>
      </c>
      <c r="H543" t="str">
        <f>INDEX([1]妻子表!$A:$A,MATCH(F543,[1]妻子表!$B:$B,0))</f>
        <v>M001079W01</v>
      </c>
      <c r="I543" t="str">
        <f>VLOOKUP(H543,[1]妻子表!$A:$D,4,0)</f>
        <v>王氏</v>
      </c>
      <c r="J543" t="s">
        <v>359</v>
      </c>
      <c r="M543" t="s">
        <v>3563</v>
      </c>
      <c r="N543" t="s">
        <v>3564</v>
      </c>
      <c r="O543" t="s">
        <v>3565</v>
      </c>
      <c r="P543" t="s">
        <v>184</v>
      </c>
      <c r="AA543" t="s">
        <v>3566</v>
      </c>
    </row>
    <row r="544" spans="1:27" x14ac:dyDescent="0.25">
      <c r="A544" t="s">
        <v>3567</v>
      </c>
      <c r="B544" t="s">
        <v>3568</v>
      </c>
      <c r="C544" t="s">
        <v>29</v>
      </c>
      <c r="D544" t="s">
        <v>1911</v>
      </c>
      <c r="E544" t="s">
        <v>2623</v>
      </c>
      <c r="F544" t="s">
        <v>3171</v>
      </c>
      <c r="G544" t="s">
        <v>3172</v>
      </c>
      <c r="H544" t="str">
        <f>INDEX([1]妻子表!$A:$A,MATCH(F544,[1]妻子表!$B:$B,0))</f>
        <v>M001080W01</v>
      </c>
      <c r="I544" t="str">
        <f>VLOOKUP(H544,[1]妻子表!$A:$D,4,0)</f>
        <v>刘氏</v>
      </c>
      <c r="J544" t="s">
        <v>359</v>
      </c>
      <c r="M544" t="s">
        <v>3569</v>
      </c>
      <c r="N544" t="s">
        <v>2942</v>
      </c>
      <c r="O544" t="s">
        <v>3570</v>
      </c>
      <c r="P544" t="s">
        <v>601</v>
      </c>
      <c r="AA544" t="s">
        <v>3571</v>
      </c>
    </row>
    <row r="545" spans="1:27" x14ac:dyDescent="0.25">
      <c r="A545" t="s">
        <v>3572</v>
      </c>
      <c r="B545" t="s">
        <v>3573</v>
      </c>
      <c r="C545" t="s">
        <v>29</v>
      </c>
      <c r="D545" t="s">
        <v>1911</v>
      </c>
      <c r="E545" t="s">
        <v>2623</v>
      </c>
      <c r="F545" t="s">
        <v>3185</v>
      </c>
      <c r="G545" t="s">
        <v>3186</v>
      </c>
      <c r="H545" t="str">
        <f>INDEX([1]妻子表!$A:$A,MATCH(F545,[1]妻子表!$B:$B,0))</f>
        <v>M001082W01</v>
      </c>
      <c r="I545" t="str">
        <f>VLOOKUP(H545,[1]妻子表!$A:$D,4,0)</f>
        <v>刘氏</v>
      </c>
      <c r="J545" t="s">
        <v>359</v>
      </c>
      <c r="M545" t="s">
        <v>3574</v>
      </c>
      <c r="N545" t="s">
        <v>3037</v>
      </c>
      <c r="O545" t="s">
        <v>3575</v>
      </c>
      <c r="P545" t="s">
        <v>407</v>
      </c>
      <c r="AA545" t="s">
        <v>3576</v>
      </c>
    </row>
    <row r="546" spans="1:27" x14ac:dyDescent="0.25">
      <c r="A546" t="s">
        <v>3577</v>
      </c>
      <c r="B546" t="s">
        <v>3578</v>
      </c>
      <c r="C546" t="s">
        <v>29</v>
      </c>
      <c r="D546" t="s">
        <v>1911</v>
      </c>
      <c r="E546" t="s">
        <v>2623</v>
      </c>
      <c r="F546" t="s">
        <v>3185</v>
      </c>
      <c r="G546" t="s">
        <v>3186</v>
      </c>
      <c r="H546" t="str">
        <f>INDEX([1]妻子表!$A:$A,MATCH(F546,[1]妻子表!$B:$B,0))</f>
        <v>M001082W01</v>
      </c>
      <c r="I546" t="str">
        <f>VLOOKUP(H546,[1]妻子表!$A:$D,4,0)</f>
        <v>刘氏</v>
      </c>
      <c r="J546" t="s">
        <v>359</v>
      </c>
      <c r="M546" t="s">
        <v>3579</v>
      </c>
      <c r="N546" t="s">
        <v>3197</v>
      </c>
      <c r="O546" t="s">
        <v>3580</v>
      </c>
      <c r="P546" t="s">
        <v>169</v>
      </c>
      <c r="AA546" t="s">
        <v>3581</v>
      </c>
    </row>
    <row r="547" spans="1:27" x14ac:dyDescent="0.25">
      <c r="A547" t="s">
        <v>3582</v>
      </c>
      <c r="B547" t="s">
        <v>3583</v>
      </c>
      <c r="C547" t="s">
        <v>29</v>
      </c>
      <c r="D547" t="s">
        <v>1911</v>
      </c>
      <c r="E547" t="s">
        <v>2623</v>
      </c>
      <c r="F547" t="s">
        <v>3191</v>
      </c>
      <c r="G547" t="s">
        <v>3192</v>
      </c>
      <c r="H547" t="str">
        <f>INDEX([1]妻子表!$A:$A,MATCH(F547,[1]妻子表!$B:$B,0))</f>
        <v>M001083W01</v>
      </c>
      <c r="I547" t="str">
        <f>VLOOKUP(H547,[1]妻子表!$A:$D,4,0)</f>
        <v>谢氏</v>
      </c>
      <c r="J547" t="s">
        <v>359</v>
      </c>
      <c r="K547" t="s">
        <v>3397</v>
      </c>
      <c r="L547" t="s">
        <v>303</v>
      </c>
      <c r="M547" t="s">
        <v>3584</v>
      </c>
      <c r="N547" t="s">
        <v>1939</v>
      </c>
      <c r="O547" t="s">
        <v>3585</v>
      </c>
      <c r="P547" t="s">
        <v>169</v>
      </c>
      <c r="Q547" t="s">
        <v>3586</v>
      </c>
      <c r="R547" t="s">
        <v>3587</v>
      </c>
      <c r="S547" t="s">
        <v>3588</v>
      </c>
      <c r="AA547" t="s">
        <v>3589</v>
      </c>
    </row>
    <row r="548" spans="1:27" x14ac:dyDescent="0.25">
      <c r="A548" t="s">
        <v>3590</v>
      </c>
      <c r="B548" t="s">
        <v>3591</v>
      </c>
      <c r="C548" t="s">
        <v>29</v>
      </c>
      <c r="D548" t="s">
        <v>1911</v>
      </c>
      <c r="E548" t="s">
        <v>2623</v>
      </c>
      <c r="F548" t="s">
        <v>3191</v>
      </c>
      <c r="G548" t="s">
        <v>3192</v>
      </c>
      <c r="H548" t="str">
        <f>INDEX([1]妻子表!$A:$A,MATCH(F548,[1]妻子表!$B:$B,0))</f>
        <v>M001083W01</v>
      </c>
      <c r="I548" t="str">
        <f>VLOOKUP(H548,[1]妻子表!$A:$D,4,0)</f>
        <v>谢氏</v>
      </c>
      <c r="J548" t="s">
        <v>359</v>
      </c>
      <c r="M548" t="s">
        <v>3592</v>
      </c>
      <c r="N548" t="s">
        <v>3593</v>
      </c>
      <c r="O548" t="s">
        <v>3594</v>
      </c>
      <c r="P548" t="s">
        <v>240</v>
      </c>
      <c r="AA548" t="s">
        <v>3595</v>
      </c>
    </row>
    <row r="549" spans="1:27" x14ac:dyDescent="0.25">
      <c r="A549" t="s">
        <v>3596</v>
      </c>
      <c r="B549" t="s">
        <v>3597</v>
      </c>
      <c r="C549" t="s">
        <v>29</v>
      </c>
      <c r="D549" t="s">
        <v>1911</v>
      </c>
      <c r="E549" t="s">
        <v>2623</v>
      </c>
      <c r="F549" t="s">
        <v>3206</v>
      </c>
      <c r="G549" t="s">
        <v>3207</v>
      </c>
      <c r="H549" t="str">
        <f>INDEX([1]妻子表!$A:$A,MATCH(F549,[1]妻子表!$B:$B,0))</f>
        <v>M001085W01</v>
      </c>
      <c r="I549" t="str">
        <f>VLOOKUP(H549,[1]妻子表!$A:$D,4,0)</f>
        <v>王氏</v>
      </c>
      <c r="J549" t="s">
        <v>359</v>
      </c>
      <c r="M549" t="s">
        <v>3598</v>
      </c>
      <c r="N549" t="s">
        <v>1168</v>
      </c>
      <c r="O549" t="s">
        <v>3599</v>
      </c>
      <c r="P549" t="s">
        <v>497</v>
      </c>
      <c r="T549" s="2" t="s">
        <v>3600</v>
      </c>
      <c r="U549" t="s">
        <v>882</v>
      </c>
      <c r="AA549" t="s">
        <v>3601</v>
      </c>
    </row>
    <row r="550" spans="1:27" x14ac:dyDescent="0.25">
      <c r="A550" t="s">
        <v>3602</v>
      </c>
      <c r="B550" t="s">
        <v>3603</v>
      </c>
      <c r="C550" t="s">
        <v>29</v>
      </c>
      <c r="D550" t="s">
        <v>1911</v>
      </c>
      <c r="E550" t="s">
        <v>2623</v>
      </c>
      <c r="F550" t="s">
        <v>3225</v>
      </c>
      <c r="G550" t="s">
        <v>3226</v>
      </c>
      <c r="H550" t="str">
        <f>INDEX([1]妻子表!$A:$A,MATCH(F550,[1]妻子表!$B:$B,0))</f>
        <v>M001088W01</v>
      </c>
      <c r="I550" t="str">
        <f>VLOOKUP(H550,[1]妻子表!$A:$D,4,0)</f>
        <v>李氏</v>
      </c>
      <c r="J550" t="s">
        <v>359</v>
      </c>
      <c r="M550" t="s">
        <v>3604</v>
      </c>
      <c r="N550" t="s">
        <v>3605</v>
      </c>
      <c r="O550" t="s">
        <v>3606</v>
      </c>
      <c r="P550" t="s">
        <v>224</v>
      </c>
      <c r="AA550" t="s">
        <v>3607</v>
      </c>
    </row>
    <row r="551" spans="1:27" x14ac:dyDescent="0.25">
      <c r="A551" t="s">
        <v>3608</v>
      </c>
      <c r="B551" t="s">
        <v>3609</v>
      </c>
      <c r="C551" t="s">
        <v>29</v>
      </c>
      <c r="D551" t="s">
        <v>1911</v>
      </c>
      <c r="E551" t="s">
        <v>2623</v>
      </c>
      <c r="F551" t="s">
        <v>3231</v>
      </c>
      <c r="G551" t="s">
        <v>3232</v>
      </c>
      <c r="H551" t="str">
        <f>INDEX([1]妻子表!$A:$A,MATCH(F551,[1]妻子表!$B:$B,0))</f>
        <v>M001089W01</v>
      </c>
      <c r="I551" t="str">
        <f>VLOOKUP(H551,[1]妻子表!$A:$D,4,0)</f>
        <v>刘氏</v>
      </c>
      <c r="J551" t="s">
        <v>359</v>
      </c>
      <c r="M551" t="s">
        <v>3610</v>
      </c>
      <c r="N551" t="s">
        <v>1948</v>
      </c>
      <c r="O551" t="s">
        <v>3611</v>
      </c>
      <c r="P551" t="s">
        <v>257</v>
      </c>
      <c r="AA551" t="s">
        <v>3612</v>
      </c>
    </row>
    <row r="552" spans="1:27" x14ac:dyDescent="0.25">
      <c r="A552" t="s">
        <v>3613</v>
      </c>
      <c r="B552" t="s">
        <v>3614</v>
      </c>
      <c r="C552" t="s">
        <v>29</v>
      </c>
      <c r="D552" t="s">
        <v>1911</v>
      </c>
      <c r="E552" t="s">
        <v>2623</v>
      </c>
      <c r="F552" t="s">
        <v>3231</v>
      </c>
      <c r="G552" t="s">
        <v>3232</v>
      </c>
      <c r="H552" t="str">
        <f>INDEX([1]妻子表!$A:$A,MATCH(F552,[1]妻子表!$B:$B,0))</f>
        <v>M001089W01</v>
      </c>
      <c r="I552" t="str">
        <f>VLOOKUP(H552,[1]妻子表!$A:$D,4,0)</f>
        <v>刘氏</v>
      </c>
      <c r="J552" t="s">
        <v>359</v>
      </c>
      <c r="M552" t="s">
        <v>3615</v>
      </c>
      <c r="N552" t="s">
        <v>3616</v>
      </c>
      <c r="O552" t="s">
        <v>3617</v>
      </c>
      <c r="P552" t="s">
        <v>407</v>
      </c>
      <c r="AA552" t="s">
        <v>3618</v>
      </c>
    </row>
    <row r="553" spans="1:27" x14ac:dyDescent="0.25">
      <c r="A553" t="s">
        <v>3619</v>
      </c>
      <c r="B553" t="s">
        <v>3620</v>
      </c>
      <c r="C553" t="s">
        <v>29</v>
      </c>
      <c r="D553" t="s">
        <v>1911</v>
      </c>
      <c r="E553" t="s">
        <v>2623</v>
      </c>
      <c r="F553" t="s">
        <v>3231</v>
      </c>
      <c r="G553" t="s">
        <v>3232</v>
      </c>
      <c r="H553" t="str">
        <f>INDEX([1]妻子表!$A:$A,MATCH(F553,[1]妻子表!$B:$B,0))</f>
        <v>M001089W01</v>
      </c>
      <c r="I553" t="str">
        <f>VLOOKUP(H553,[1]妻子表!$A:$D,4,0)</f>
        <v>刘氏</v>
      </c>
      <c r="J553" t="s">
        <v>359</v>
      </c>
      <c r="M553" t="s">
        <v>3621</v>
      </c>
      <c r="N553" t="s">
        <v>2204</v>
      </c>
      <c r="O553" t="s">
        <v>3622</v>
      </c>
      <c r="P553" t="s">
        <v>497</v>
      </c>
      <c r="AA553" t="s">
        <v>3623</v>
      </c>
    </row>
    <row r="554" spans="1:27" x14ac:dyDescent="0.25">
      <c r="A554" t="s">
        <v>3624</v>
      </c>
      <c r="B554" t="s">
        <v>3625</v>
      </c>
      <c r="C554" t="s">
        <v>29</v>
      </c>
      <c r="D554" t="s">
        <v>1911</v>
      </c>
      <c r="E554" t="s">
        <v>2623</v>
      </c>
      <c r="F554" t="s">
        <v>3231</v>
      </c>
      <c r="G554" t="s">
        <v>3232</v>
      </c>
      <c r="H554" t="str">
        <f>INDEX([1]妻子表!$A:$A,MATCH(F554,[1]妻子表!$B:$B,0))</f>
        <v>M001089W01</v>
      </c>
      <c r="I554" t="str">
        <f>VLOOKUP(H554,[1]妻子表!$A:$D,4,0)</f>
        <v>刘氏</v>
      </c>
      <c r="J554" t="s">
        <v>359</v>
      </c>
      <c r="M554" t="s">
        <v>3626</v>
      </c>
      <c r="N554" t="s">
        <v>2289</v>
      </c>
      <c r="O554" t="s">
        <v>3627</v>
      </c>
      <c r="P554" t="s">
        <v>240</v>
      </c>
      <c r="AA554" t="s">
        <v>3628</v>
      </c>
    </row>
    <row r="555" spans="1:27" x14ac:dyDescent="0.25">
      <c r="A555" t="s">
        <v>3629</v>
      </c>
      <c r="B555" t="s">
        <v>3630</v>
      </c>
      <c r="C555" t="s">
        <v>29</v>
      </c>
      <c r="D555" t="s">
        <v>1911</v>
      </c>
      <c r="E555" t="s">
        <v>2623</v>
      </c>
      <c r="F555" t="s">
        <v>3256</v>
      </c>
      <c r="G555" t="s">
        <v>3257</v>
      </c>
      <c r="H555" t="str">
        <f>INDEX([1]妻子表!$A:$A,MATCH(F555,[1]妻子表!$B:$B,0))</f>
        <v>M001093W01</v>
      </c>
      <c r="I555" t="str">
        <f>VLOOKUP(H555,[1]妻子表!$A:$D,4,0)</f>
        <v>黄氏</v>
      </c>
      <c r="J555" t="s">
        <v>359</v>
      </c>
      <c r="M555" t="s">
        <v>3631</v>
      </c>
      <c r="N555" t="s">
        <v>3587</v>
      </c>
      <c r="O555" t="s">
        <v>3632</v>
      </c>
      <c r="P555" t="s">
        <v>458</v>
      </c>
      <c r="AA555" t="s">
        <v>3633</v>
      </c>
    </row>
    <row r="556" spans="1:27" x14ac:dyDescent="0.25">
      <c r="A556" t="s">
        <v>3634</v>
      </c>
      <c r="B556" t="s">
        <v>3635</v>
      </c>
      <c r="C556" t="s">
        <v>29</v>
      </c>
      <c r="D556" t="s">
        <v>1911</v>
      </c>
      <c r="E556" t="s">
        <v>2623</v>
      </c>
      <c r="F556" t="s">
        <v>3284</v>
      </c>
      <c r="G556" t="s">
        <v>3285</v>
      </c>
      <c r="H556" t="str">
        <f>INDEX([1]妻子表!$A:$A,MATCH(F556,[1]妻子表!$B:$B,0))</f>
        <v>M001098W01</v>
      </c>
      <c r="I556" t="str">
        <f>VLOOKUP(H556,[1]妻子表!$A:$D,4,0)</f>
        <v>陈氏</v>
      </c>
      <c r="J556" t="s">
        <v>359</v>
      </c>
      <c r="M556" t="s">
        <v>3636</v>
      </c>
      <c r="N556" t="s">
        <v>3605</v>
      </c>
      <c r="O556" t="s">
        <v>3637</v>
      </c>
      <c r="P556" t="s">
        <v>224</v>
      </c>
      <c r="AA556" t="s">
        <v>3638</v>
      </c>
    </row>
    <row r="557" spans="1:27" x14ac:dyDescent="0.25">
      <c r="A557" t="s">
        <v>3639</v>
      </c>
      <c r="B557" t="s">
        <v>3640</v>
      </c>
      <c r="C557" t="s">
        <v>29</v>
      </c>
      <c r="D557" t="s">
        <v>1911</v>
      </c>
      <c r="E557" t="s">
        <v>2623</v>
      </c>
      <c r="F557" t="s">
        <v>3304</v>
      </c>
      <c r="G557" t="s">
        <v>3305</v>
      </c>
      <c r="H557" t="str">
        <f>INDEX([1]妻子表!$A:$A,MATCH(F557,[1]妻子表!$B:$B,0))</f>
        <v>M001102W01</v>
      </c>
      <c r="I557" t="str">
        <f>VLOOKUP(H557,[1]妻子表!$A:$D,4,0)</f>
        <v>彭氏</v>
      </c>
      <c r="J557" t="s">
        <v>359</v>
      </c>
      <c r="M557" t="s">
        <v>3641</v>
      </c>
      <c r="N557" t="s">
        <v>3605</v>
      </c>
      <c r="O557" t="s">
        <v>3642</v>
      </c>
      <c r="P557" t="s">
        <v>224</v>
      </c>
      <c r="T557" s="2" t="s">
        <v>3643</v>
      </c>
      <c r="U557" t="s">
        <v>174</v>
      </c>
      <c r="AA557" t="s">
        <v>3644</v>
      </c>
    </row>
    <row r="558" spans="1:27" x14ac:dyDescent="0.25">
      <c r="A558" t="s">
        <v>3645</v>
      </c>
      <c r="B558" t="s">
        <v>3646</v>
      </c>
      <c r="C558" t="s">
        <v>29</v>
      </c>
      <c r="D558" t="s">
        <v>1911</v>
      </c>
      <c r="E558" t="s">
        <v>2623</v>
      </c>
      <c r="F558" t="s">
        <v>3304</v>
      </c>
      <c r="G558" t="s">
        <v>3305</v>
      </c>
      <c r="H558" t="str">
        <f>INDEX([1]妻子表!$A:$A,MATCH(F558,[1]妻子表!$B:$B,0))</f>
        <v>M001102W01</v>
      </c>
      <c r="I558" t="str">
        <f>VLOOKUP(H558,[1]妻子表!$A:$D,4,0)</f>
        <v>彭氏</v>
      </c>
      <c r="J558" t="s">
        <v>359</v>
      </c>
      <c r="M558" t="s">
        <v>3647</v>
      </c>
      <c r="N558" t="s">
        <v>1492</v>
      </c>
      <c r="O558" t="s">
        <v>3648</v>
      </c>
      <c r="P558" t="s">
        <v>240</v>
      </c>
      <c r="AA558" t="s">
        <v>3649</v>
      </c>
    </row>
    <row r="559" spans="1:27" x14ac:dyDescent="0.25">
      <c r="A559" t="s">
        <v>3650</v>
      </c>
      <c r="B559" t="s">
        <v>3651</v>
      </c>
      <c r="C559" t="s">
        <v>29</v>
      </c>
      <c r="D559" t="s">
        <v>1911</v>
      </c>
      <c r="E559" t="s">
        <v>2623</v>
      </c>
      <c r="F559" t="s">
        <v>3304</v>
      </c>
      <c r="G559" t="s">
        <v>3305</v>
      </c>
      <c r="H559" t="str">
        <f>INDEX([1]妻子表!$A:$A,MATCH(F559,[1]妻子表!$B:$B,0))</f>
        <v>M001102W01</v>
      </c>
      <c r="I559" t="str">
        <f>VLOOKUP(H559,[1]妻子表!$A:$D,4,0)</f>
        <v>彭氏</v>
      </c>
      <c r="J559" t="s">
        <v>359</v>
      </c>
      <c r="M559" t="s">
        <v>3652</v>
      </c>
      <c r="N559" t="s">
        <v>1502</v>
      </c>
      <c r="O559" t="s">
        <v>3653</v>
      </c>
      <c r="P559" t="s">
        <v>497</v>
      </c>
      <c r="AA559" t="s">
        <v>3654</v>
      </c>
    </row>
    <row r="560" spans="1:27" x14ac:dyDescent="0.25">
      <c r="A560" t="s">
        <v>3655</v>
      </c>
      <c r="B560" t="s">
        <v>3656</v>
      </c>
      <c r="C560" t="s">
        <v>29</v>
      </c>
      <c r="D560" t="s">
        <v>1911</v>
      </c>
      <c r="E560" t="s">
        <v>2623</v>
      </c>
      <c r="F560" t="s">
        <v>3304</v>
      </c>
      <c r="G560" t="s">
        <v>3305</v>
      </c>
      <c r="H560" t="str">
        <f>INDEX([1]妻子表!$A:$A,MATCH(F560,[1]妻子表!$B:$B,0))</f>
        <v>M001102W01</v>
      </c>
      <c r="I560" t="str">
        <f>VLOOKUP(H560,[1]妻子表!$A:$D,4,0)</f>
        <v>彭氏</v>
      </c>
      <c r="J560" t="s">
        <v>359</v>
      </c>
      <c r="M560" t="s">
        <v>3657</v>
      </c>
      <c r="N560" t="s">
        <v>1266</v>
      </c>
      <c r="O560" t="s">
        <v>3658</v>
      </c>
      <c r="P560" t="s">
        <v>240</v>
      </c>
      <c r="AA560" t="s">
        <v>3659</v>
      </c>
    </row>
    <row r="561" spans="1:27" x14ac:dyDescent="0.25">
      <c r="A561" t="s">
        <v>3660</v>
      </c>
      <c r="B561" t="s">
        <v>3661</v>
      </c>
      <c r="C561" t="s">
        <v>29</v>
      </c>
      <c r="D561" t="s">
        <v>1911</v>
      </c>
      <c r="E561" t="s">
        <v>2623</v>
      </c>
      <c r="F561" t="s">
        <v>3312</v>
      </c>
      <c r="G561" t="s">
        <v>3313</v>
      </c>
      <c r="H561" t="str">
        <f>INDEX([1]妻子表!$A:$A,MATCH(F561,[1]妻子表!$B:$B,0))</f>
        <v>M001103W01</v>
      </c>
      <c r="I561" t="str">
        <f>VLOOKUP(H561,[1]妻子表!$A:$D,4,0)</f>
        <v>彭氏</v>
      </c>
      <c r="J561" t="s">
        <v>359</v>
      </c>
      <c r="K561" t="s">
        <v>2858</v>
      </c>
      <c r="M561" t="s">
        <v>3662</v>
      </c>
      <c r="N561" t="s">
        <v>1473</v>
      </c>
      <c r="O561" t="s">
        <v>3663</v>
      </c>
      <c r="P561" t="s">
        <v>407</v>
      </c>
      <c r="T561" s="2" t="s">
        <v>3664</v>
      </c>
      <c r="U561" t="s">
        <v>95</v>
      </c>
      <c r="AA561" t="s">
        <v>3665</v>
      </c>
    </row>
    <row r="562" spans="1:27" x14ac:dyDescent="0.25">
      <c r="A562" t="s">
        <v>3666</v>
      </c>
      <c r="B562" t="s">
        <v>3667</v>
      </c>
      <c r="C562" t="s">
        <v>29</v>
      </c>
      <c r="D562" t="s">
        <v>1911</v>
      </c>
      <c r="E562" t="s">
        <v>2623</v>
      </c>
      <c r="F562" t="s">
        <v>3318</v>
      </c>
      <c r="G562" t="s">
        <v>3319</v>
      </c>
      <c r="H562" t="str">
        <f>INDEX([1]妻子表!$A:$A,MATCH(F562,[1]妻子表!$B:$B,0))</f>
        <v>M001104W01</v>
      </c>
      <c r="I562" t="str">
        <f>VLOOKUP(H562,[1]妻子表!$A:$D,4,0)</f>
        <v>朱氏</v>
      </c>
      <c r="J562" t="s">
        <v>359</v>
      </c>
      <c r="L562" t="s">
        <v>1656</v>
      </c>
      <c r="M562" t="s">
        <v>3668</v>
      </c>
      <c r="N562" t="s">
        <v>2044</v>
      </c>
      <c r="O562" t="s">
        <v>3669</v>
      </c>
      <c r="P562" t="s">
        <v>108</v>
      </c>
      <c r="Q562" t="s">
        <v>3670</v>
      </c>
      <c r="R562" t="s">
        <v>3616</v>
      </c>
      <c r="S562" t="s">
        <v>3671</v>
      </c>
      <c r="AA562" t="s">
        <v>3672</v>
      </c>
    </row>
    <row r="563" spans="1:27" x14ac:dyDescent="0.25">
      <c r="A563" t="s">
        <v>3673</v>
      </c>
      <c r="B563" t="s">
        <v>3674</v>
      </c>
      <c r="C563" t="s">
        <v>29</v>
      </c>
      <c r="D563" t="s">
        <v>1911</v>
      </c>
      <c r="E563" t="s">
        <v>2623</v>
      </c>
      <c r="F563" t="s">
        <v>3318</v>
      </c>
      <c r="G563" t="s">
        <v>3319</v>
      </c>
      <c r="H563" t="str">
        <f>INDEX([1]妻子表!$A:$A,MATCH(F563,[1]妻子表!$B:$B,0))</f>
        <v>M001104W01</v>
      </c>
      <c r="I563" t="str">
        <f>VLOOKUP(H563,[1]妻子表!$A:$D,4,0)</f>
        <v>朱氏</v>
      </c>
      <c r="J563" t="s">
        <v>359</v>
      </c>
      <c r="M563" t="s">
        <v>3675</v>
      </c>
      <c r="N563" t="s">
        <v>1980</v>
      </c>
      <c r="O563" t="s">
        <v>3676</v>
      </c>
      <c r="P563" t="s">
        <v>407</v>
      </c>
      <c r="T563" s="2" t="s">
        <v>3677</v>
      </c>
      <c r="U563" t="s">
        <v>38</v>
      </c>
      <c r="AA563" t="s">
        <v>3678</v>
      </c>
    </row>
    <row r="564" spans="1:27" x14ac:dyDescent="0.25">
      <c r="A564" t="s">
        <v>3679</v>
      </c>
      <c r="B564" t="s">
        <v>3680</v>
      </c>
      <c r="C564" t="s">
        <v>29</v>
      </c>
      <c r="D564" t="s">
        <v>1911</v>
      </c>
      <c r="E564" t="s">
        <v>2623</v>
      </c>
      <c r="F564" t="s">
        <v>3318</v>
      </c>
      <c r="G564" t="s">
        <v>3319</v>
      </c>
      <c r="H564" t="str">
        <f>INDEX([1]妻子表!$A:$A,MATCH(F564,[1]妻子表!$B:$B,0))</f>
        <v>M001104W01</v>
      </c>
      <c r="I564" t="str">
        <f>VLOOKUP(H564,[1]妻子表!$A:$D,4,0)</f>
        <v>朱氏</v>
      </c>
      <c r="J564" t="s">
        <v>359</v>
      </c>
      <c r="M564" t="s">
        <v>3681</v>
      </c>
      <c r="N564" t="s">
        <v>1266</v>
      </c>
      <c r="O564" t="s">
        <v>3682</v>
      </c>
      <c r="P564" t="s">
        <v>240</v>
      </c>
      <c r="AA564" t="s">
        <v>3683</v>
      </c>
    </row>
    <row r="565" spans="1:27" x14ac:dyDescent="0.25">
      <c r="A565" t="s">
        <v>3684</v>
      </c>
      <c r="B565" t="s">
        <v>3685</v>
      </c>
      <c r="C565" t="s">
        <v>29</v>
      </c>
      <c r="D565" t="s">
        <v>1911</v>
      </c>
      <c r="E565" t="s">
        <v>2623</v>
      </c>
      <c r="F565" t="s">
        <v>3318</v>
      </c>
      <c r="G565" t="s">
        <v>3319</v>
      </c>
      <c r="H565" t="str">
        <f>INDEX([1]妻子表!$A:$A,MATCH(F565,[1]妻子表!$B:$B,0))</f>
        <v>M001104W01</v>
      </c>
      <c r="I565" t="str">
        <f>VLOOKUP(H565,[1]妻子表!$A:$D,4,0)</f>
        <v>朱氏</v>
      </c>
      <c r="J565" t="s">
        <v>359</v>
      </c>
      <c r="M565" t="s">
        <v>3686</v>
      </c>
      <c r="N565" t="s">
        <v>1473</v>
      </c>
      <c r="O565" t="s">
        <v>3687</v>
      </c>
      <c r="P565" t="s">
        <v>407</v>
      </c>
      <c r="AA565" t="s">
        <v>3688</v>
      </c>
    </row>
    <row r="566" spans="1:27" x14ac:dyDescent="0.25">
      <c r="A566" t="s">
        <v>3689</v>
      </c>
      <c r="B566" t="s">
        <v>3690</v>
      </c>
      <c r="C566" t="s">
        <v>29</v>
      </c>
      <c r="D566" t="s">
        <v>1911</v>
      </c>
      <c r="E566" t="s">
        <v>2623</v>
      </c>
      <c r="F566" t="s">
        <v>3326</v>
      </c>
      <c r="G566" t="s">
        <v>3327</v>
      </c>
      <c r="H566" t="str">
        <f>INDEX([1]妻子表!$A:$A,MATCH(F566,[1]妻子表!$B:$B,0))</f>
        <v>M001105W01</v>
      </c>
      <c r="I566" t="str">
        <f>VLOOKUP(H566,[1]妻子表!$A:$D,4,0)</f>
        <v>刘氏</v>
      </c>
      <c r="J566" t="s">
        <v>359</v>
      </c>
      <c r="AA566" t="s">
        <v>1760</v>
      </c>
    </row>
    <row r="567" spans="1:27" x14ac:dyDescent="0.25">
      <c r="A567" t="s">
        <v>3691</v>
      </c>
      <c r="B567" t="s">
        <v>3692</v>
      </c>
      <c r="C567" t="s">
        <v>29</v>
      </c>
      <c r="D567" t="s">
        <v>1911</v>
      </c>
      <c r="E567" t="s">
        <v>2623</v>
      </c>
      <c r="F567" t="s">
        <v>3326</v>
      </c>
      <c r="G567" t="s">
        <v>3327</v>
      </c>
      <c r="H567" t="str">
        <f>INDEX([1]妻子表!$A:$A,MATCH(F567,[1]妻子表!$B:$B,0))</f>
        <v>M001105W01</v>
      </c>
      <c r="I567" t="str">
        <f>VLOOKUP(H567,[1]妻子表!$A:$D,4,0)</f>
        <v>刘氏</v>
      </c>
      <c r="J567" t="s">
        <v>359</v>
      </c>
      <c r="M567" t="s">
        <v>3693</v>
      </c>
      <c r="N567" t="s">
        <v>2301</v>
      </c>
      <c r="O567" t="s">
        <v>3694</v>
      </c>
      <c r="P567" t="s">
        <v>224</v>
      </c>
      <c r="AA567" t="s">
        <v>3695</v>
      </c>
    </row>
    <row r="568" spans="1:27" x14ac:dyDescent="0.25">
      <c r="A568" t="s">
        <v>3696</v>
      </c>
      <c r="B568" t="s">
        <v>3697</v>
      </c>
      <c r="C568" t="s">
        <v>29</v>
      </c>
      <c r="D568" t="s">
        <v>1911</v>
      </c>
      <c r="E568" t="s">
        <v>2623</v>
      </c>
      <c r="F568" t="s">
        <v>3334</v>
      </c>
      <c r="G568" t="s">
        <v>3335</v>
      </c>
      <c r="H568" t="str">
        <f>INDEX([1]妻子表!$A:$A,MATCH(F568,[1]妻子表!$B:$B,0))</f>
        <v>M001106W01</v>
      </c>
      <c r="I568" t="str">
        <f>VLOOKUP(H568,[1]妻子表!$A:$D,4,0)</f>
        <v>李氏</v>
      </c>
      <c r="J568" t="s">
        <v>359</v>
      </c>
      <c r="M568" t="s">
        <v>3698</v>
      </c>
      <c r="N568" t="s">
        <v>2301</v>
      </c>
      <c r="O568" t="s">
        <v>3699</v>
      </c>
      <c r="P568" t="s">
        <v>224</v>
      </c>
      <c r="AA568" t="s">
        <v>3700</v>
      </c>
    </row>
    <row r="569" spans="1:27" x14ac:dyDescent="0.25">
      <c r="A569" t="s">
        <v>3701</v>
      </c>
      <c r="B569" t="s">
        <v>3702</v>
      </c>
      <c r="C569" t="s">
        <v>29</v>
      </c>
      <c r="D569" t="s">
        <v>1911</v>
      </c>
      <c r="E569" t="s">
        <v>2623</v>
      </c>
      <c r="F569" t="s">
        <v>3340</v>
      </c>
      <c r="G569" t="s">
        <v>3341</v>
      </c>
      <c r="H569" t="str">
        <f>INDEX([1]妻子表!$A:$A,MATCH(F569,[1]妻子表!$B:$B,0))</f>
        <v>M001107W01</v>
      </c>
      <c r="I569" t="str">
        <f>VLOOKUP(H569,[1]妻子表!$A:$D,4,0)</f>
        <v>刘氏</v>
      </c>
      <c r="J569" t="s">
        <v>359</v>
      </c>
      <c r="M569" t="s">
        <v>3703</v>
      </c>
      <c r="N569" t="s">
        <v>1473</v>
      </c>
      <c r="O569" t="s">
        <v>3704</v>
      </c>
      <c r="P569" t="s">
        <v>407</v>
      </c>
      <c r="AA569" t="s">
        <v>3705</v>
      </c>
    </row>
    <row r="570" spans="1:27" x14ac:dyDescent="0.25">
      <c r="A570" t="s">
        <v>3706</v>
      </c>
      <c r="B570" t="s">
        <v>3707</v>
      </c>
      <c r="C570" t="s">
        <v>29</v>
      </c>
      <c r="D570" t="s">
        <v>1911</v>
      </c>
      <c r="E570" t="s">
        <v>2623</v>
      </c>
      <c r="F570" t="s">
        <v>3349</v>
      </c>
      <c r="G570" t="s">
        <v>3350</v>
      </c>
      <c r="H570" t="str">
        <f>INDEX([1]妻子表!$A:$A,MATCH(F570,[1]妻子表!$B:$B,0))</f>
        <v>M001108W01</v>
      </c>
      <c r="I570" t="str">
        <f>VLOOKUP(H570,[1]妻子表!$A:$D,4,0)</f>
        <v>龙氏</v>
      </c>
      <c r="J570" t="s">
        <v>359</v>
      </c>
      <c r="M570" t="s">
        <v>3708</v>
      </c>
      <c r="N570" t="s">
        <v>1980</v>
      </c>
      <c r="O570" t="s">
        <v>3709</v>
      </c>
      <c r="P570" t="s">
        <v>407</v>
      </c>
      <c r="AA570" t="s">
        <v>3710</v>
      </c>
    </row>
    <row r="571" spans="1:27" x14ac:dyDescent="0.25">
      <c r="A571" t="s">
        <v>3711</v>
      </c>
      <c r="B571" t="s">
        <v>3712</v>
      </c>
      <c r="C571" t="s">
        <v>29</v>
      </c>
      <c r="D571" t="s">
        <v>1911</v>
      </c>
      <c r="E571" t="s">
        <v>2623</v>
      </c>
      <c r="F571" t="s">
        <v>3349</v>
      </c>
      <c r="G571" t="s">
        <v>3350</v>
      </c>
      <c r="H571" t="str">
        <f>INDEX([1]妻子表!$A:$A,MATCH(F571,[1]妻子表!$B:$B,0))</f>
        <v>M001108W01</v>
      </c>
      <c r="I571" t="str">
        <f>VLOOKUP(H571,[1]妻子表!$A:$D,4,0)</f>
        <v>龙氏</v>
      </c>
      <c r="J571" t="s">
        <v>359</v>
      </c>
      <c r="M571" t="s">
        <v>3713</v>
      </c>
      <c r="N571" t="s">
        <v>2301</v>
      </c>
      <c r="O571" t="s">
        <v>3714</v>
      </c>
      <c r="P571" t="s">
        <v>224</v>
      </c>
      <c r="AA571" t="s">
        <v>3715</v>
      </c>
    </row>
    <row r="572" spans="1:27" x14ac:dyDescent="0.25">
      <c r="A572" t="s">
        <v>3716</v>
      </c>
      <c r="B572" t="s">
        <v>3717</v>
      </c>
      <c r="C572" t="s">
        <v>29</v>
      </c>
      <c r="D572" t="s">
        <v>1911</v>
      </c>
      <c r="E572" t="s">
        <v>2623</v>
      </c>
      <c r="F572" t="s">
        <v>3349</v>
      </c>
      <c r="G572" t="s">
        <v>3350</v>
      </c>
      <c r="H572" t="str">
        <f>INDEX([1]妻子表!$A:$A,MATCH(F572,[1]妻子表!$B:$B,0))</f>
        <v>M001108W01</v>
      </c>
      <c r="I572" t="str">
        <f>VLOOKUP(H572,[1]妻子表!$A:$D,4,0)</f>
        <v>龙氏</v>
      </c>
      <c r="J572" t="s">
        <v>359</v>
      </c>
      <c r="M572" t="s">
        <v>3718</v>
      </c>
      <c r="N572" t="s">
        <v>1266</v>
      </c>
      <c r="O572" t="s">
        <v>3719</v>
      </c>
      <c r="P572" t="s">
        <v>240</v>
      </c>
      <c r="AA572" t="s">
        <v>3720</v>
      </c>
    </row>
    <row r="573" spans="1:27" x14ac:dyDescent="0.25">
      <c r="A573" t="s">
        <v>3721</v>
      </c>
      <c r="B573" t="s">
        <v>3722</v>
      </c>
      <c r="C573" t="s">
        <v>29</v>
      </c>
      <c r="D573" t="s">
        <v>1911</v>
      </c>
      <c r="E573" t="s">
        <v>2623</v>
      </c>
      <c r="F573" t="s">
        <v>3362</v>
      </c>
      <c r="G573" t="s">
        <v>3363</v>
      </c>
      <c r="H573" t="str">
        <f>INDEX([1]妻子表!$A:$A,MATCH(F573,[1]妻子表!$B:$B,0))</f>
        <v>M001110W01</v>
      </c>
      <c r="I573" t="str">
        <f>VLOOKUP(H573,[1]妻子表!$A:$D,4,0)</f>
        <v>彭氏</v>
      </c>
      <c r="J573" t="s">
        <v>359</v>
      </c>
      <c r="M573" t="s">
        <v>3723</v>
      </c>
      <c r="N573" t="s">
        <v>2301</v>
      </c>
      <c r="O573" t="s">
        <v>3724</v>
      </c>
      <c r="P573" t="s">
        <v>224</v>
      </c>
      <c r="AA573" t="s">
        <v>3725</v>
      </c>
    </row>
    <row r="574" spans="1:27" x14ac:dyDescent="0.25">
      <c r="A574" t="s">
        <v>3726</v>
      </c>
      <c r="B574" t="s">
        <v>3727</v>
      </c>
      <c r="C574" t="s">
        <v>29</v>
      </c>
      <c r="D574" t="s">
        <v>1911</v>
      </c>
      <c r="E574" t="s">
        <v>2623</v>
      </c>
      <c r="F574" t="s">
        <v>3362</v>
      </c>
      <c r="G574" t="s">
        <v>3363</v>
      </c>
      <c r="H574" t="str">
        <f>INDEX([1]妻子表!$A:$A,MATCH(F574,[1]妻子表!$B:$B,0))</f>
        <v>M001110W01</v>
      </c>
      <c r="I574" t="str">
        <f>VLOOKUP(H574,[1]妻子表!$A:$D,4,0)</f>
        <v>彭氏</v>
      </c>
      <c r="J574" t="s">
        <v>359</v>
      </c>
      <c r="M574" t="s">
        <v>3728</v>
      </c>
      <c r="N574" t="s">
        <v>1790</v>
      </c>
      <c r="O574" t="s">
        <v>3729</v>
      </c>
      <c r="P574" t="s">
        <v>257</v>
      </c>
      <c r="T574" s="2" t="s">
        <v>3730</v>
      </c>
      <c r="U574" t="s">
        <v>437</v>
      </c>
      <c r="AA574" t="s">
        <v>3731</v>
      </c>
    </row>
    <row r="575" spans="1:27" x14ac:dyDescent="0.25">
      <c r="A575" t="s">
        <v>3732</v>
      </c>
      <c r="B575" t="s">
        <v>3733</v>
      </c>
      <c r="C575" t="s">
        <v>29</v>
      </c>
      <c r="D575" t="s">
        <v>1911</v>
      </c>
      <c r="E575" t="s">
        <v>2623</v>
      </c>
      <c r="F575" t="s">
        <v>3375</v>
      </c>
      <c r="G575" t="s">
        <v>3376</v>
      </c>
      <c r="H575" t="str">
        <f>INDEX([1]妻子表!$A:$A,MATCH(F575,[1]妻子表!$B:$B,0))</f>
        <v>M001112W01</v>
      </c>
      <c r="I575" t="str">
        <f>VLOOKUP(H575,[1]妻子表!$A:$D,4,0)</f>
        <v>刘氏</v>
      </c>
      <c r="J575" t="s">
        <v>359</v>
      </c>
      <c r="L575" t="s">
        <v>1085</v>
      </c>
      <c r="M575" t="s">
        <v>3734</v>
      </c>
      <c r="N575" t="s">
        <v>1295</v>
      </c>
      <c r="O575" t="s">
        <v>3735</v>
      </c>
      <c r="P575" t="s">
        <v>224</v>
      </c>
      <c r="Q575" t="s">
        <v>3736</v>
      </c>
      <c r="R575" t="s">
        <v>2289</v>
      </c>
      <c r="S575" t="s">
        <v>3737</v>
      </c>
      <c r="T575" s="2" t="s">
        <v>3738</v>
      </c>
      <c r="U575" t="s">
        <v>3739</v>
      </c>
      <c r="AA575" t="s">
        <v>3740</v>
      </c>
    </row>
    <row r="576" spans="1:27" x14ac:dyDescent="0.25">
      <c r="A576" t="s">
        <v>3741</v>
      </c>
      <c r="B576" t="s">
        <v>3742</v>
      </c>
      <c r="C576" t="s">
        <v>29</v>
      </c>
      <c r="D576" t="s">
        <v>1911</v>
      </c>
      <c r="E576" t="s">
        <v>2623</v>
      </c>
      <c r="F576" t="s">
        <v>3381</v>
      </c>
      <c r="G576" t="s">
        <v>3382</v>
      </c>
      <c r="H576" t="str">
        <f>INDEX([1]妻子表!$A:$A,MATCH(F576,[1]妻子表!$B:$B,0))</f>
        <v>M001113W01</v>
      </c>
      <c r="I576" t="str">
        <f>VLOOKUP(H576,[1]妻子表!$A:$D,4,0)</f>
        <v>杨氏</v>
      </c>
      <c r="J576" t="s">
        <v>359</v>
      </c>
      <c r="M576" t="s">
        <v>3743</v>
      </c>
      <c r="N576" t="s">
        <v>3593</v>
      </c>
      <c r="O576" t="s">
        <v>3744</v>
      </c>
      <c r="P576" t="s">
        <v>240</v>
      </c>
      <c r="T576" s="2" t="s">
        <v>3745</v>
      </c>
      <c r="U576" t="s">
        <v>3746</v>
      </c>
      <c r="AA576" t="s">
        <v>3747</v>
      </c>
    </row>
    <row r="577" spans="1:27" x14ac:dyDescent="0.25">
      <c r="A577" t="s">
        <v>3748</v>
      </c>
      <c r="B577" t="s">
        <v>3749</v>
      </c>
      <c r="C577" t="s">
        <v>29</v>
      </c>
      <c r="D577" t="s">
        <v>1911</v>
      </c>
      <c r="E577" t="s">
        <v>2623</v>
      </c>
      <c r="F577" t="s">
        <v>3395</v>
      </c>
      <c r="G577" t="s">
        <v>3396</v>
      </c>
      <c r="H577" t="str">
        <f>INDEX([1]妻子表!$A:$A,MATCH(F577,[1]妻子表!$B:$B,0))</f>
        <v>M001115W01</v>
      </c>
      <c r="I577" t="str">
        <f>VLOOKUP(H577,[1]妻子表!$A:$D,4,0)</f>
        <v>刘氏</v>
      </c>
      <c r="J577" t="s">
        <v>359</v>
      </c>
      <c r="M577" t="s">
        <v>3750</v>
      </c>
      <c r="N577" t="s">
        <v>1980</v>
      </c>
      <c r="O577" t="s">
        <v>2351</v>
      </c>
      <c r="P577" t="s">
        <v>407</v>
      </c>
      <c r="AA577" t="s">
        <v>3751</v>
      </c>
    </row>
    <row r="578" spans="1:27" x14ac:dyDescent="0.25">
      <c r="A578" t="s">
        <v>3752</v>
      </c>
      <c r="B578" t="s">
        <v>3753</v>
      </c>
      <c r="C578" t="s">
        <v>29</v>
      </c>
      <c r="D578" t="s">
        <v>1911</v>
      </c>
      <c r="E578" t="s">
        <v>2623</v>
      </c>
      <c r="F578" t="s">
        <v>3414</v>
      </c>
      <c r="G578" t="s">
        <v>3415</v>
      </c>
      <c r="H578" t="str">
        <f>INDEX([1]妻子表!$A:$A,MATCH(F578,[1]妻子表!$B:$B,0))</f>
        <v>M001118W01</v>
      </c>
      <c r="I578" t="str">
        <f>VLOOKUP(H578,[1]妻子表!$A:$D,4,0)</f>
        <v>杨氏</v>
      </c>
      <c r="J578" t="s">
        <v>359</v>
      </c>
      <c r="M578" t="s">
        <v>3754</v>
      </c>
      <c r="N578" t="s">
        <v>1868</v>
      </c>
      <c r="O578" t="s">
        <v>3755</v>
      </c>
      <c r="P578" t="s">
        <v>458</v>
      </c>
      <c r="AA578" t="s">
        <v>3756</v>
      </c>
    </row>
    <row r="579" spans="1:27" x14ac:dyDescent="0.25">
      <c r="A579" t="s">
        <v>3757</v>
      </c>
      <c r="B579" t="s">
        <v>3758</v>
      </c>
      <c r="C579" t="s">
        <v>29</v>
      </c>
      <c r="D579" t="s">
        <v>1911</v>
      </c>
      <c r="E579" t="s">
        <v>2623</v>
      </c>
      <c r="F579" t="s">
        <v>3436</v>
      </c>
      <c r="G579" t="s">
        <v>3437</v>
      </c>
      <c r="H579" t="str">
        <f>INDEX([1]妻子表!$A:$A,MATCH(F579,[1]妻子表!$B:$B,0))</f>
        <v>M001122W01</v>
      </c>
      <c r="I579" t="str">
        <f>VLOOKUP(H579,[1]妻子表!$A:$D,4,0)</f>
        <v>左氏</v>
      </c>
      <c r="J579" t="s">
        <v>359</v>
      </c>
      <c r="M579" t="s">
        <v>3759</v>
      </c>
      <c r="N579" t="s">
        <v>2204</v>
      </c>
      <c r="O579" t="s">
        <v>3760</v>
      </c>
      <c r="P579" t="s">
        <v>497</v>
      </c>
      <c r="AA579" t="s">
        <v>3761</v>
      </c>
    </row>
    <row r="580" spans="1:27" x14ac:dyDescent="0.25">
      <c r="A580" t="s">
        <v>3762</v>
      </c>
      <c r="B580" t="s">
        <v>3763</v>
      </c>
      <c r="C580" t="s">
        <v>29</v>
      </c>
      <c r="D580" t="s">
        <v>1911</v>
      </c>
      <c r="E580" t="s">
        <v>2623</v>
      </c>
      <c r="F580" t="s">
        <v>3455</v>
      </c>
      <c r="G580" t="s">
        <v>3456</v>
      </c>
      <c r="H580" t="str">
        <f>INDEX([1]妻子表!$A:$A,MATCH(F580,[1]妻子表!$B:$B,0))</f>
        <v>M001125W01</v>
      </c>
      <c r="I580" t="str">
        <f>VLOOKUP(H580,[1]妻子表!$A:$D,4,0)</f>
        <v>黄氏</v>
      </c>
      <c r="J580" t="s">
        <v>359</v>
      </c>
      <c r="M580" t="s">
        <v>3764</v>
      </c>
      <c r="N580" t="s">
        <v>2318</v>
      </c>
      <c r="O580" t="s">
        <v>3765</v>
      </c>
      <c r="P580" t="s">
        <v>315</v>
      </c>
      <c r="AA580" t="s">
        <v>3766</v>
      </c>
    </row>
    <row r="581" spans="1:27" x14ac:dyDescent="0.25">
      <c r="A581" t="s">
        <v>3767</v>
      </c>
      <c r="B581" t="s">
        <v>3768</v>
      </c>
      <c r="C581" t="s">
        <v>29</v>
      </c>
      <c r="D581" t="s">
        <v>1911</v>
      </c>
      <c r="E581" t="s">
        <v>2623</v>
      </c>
      <c r="F581" t="s">
        <v>3472</v>
      </c>
      <c r="G581" t="s">
        <v>3473</v>
      </c>
      <c r="H581" t="str">
        <f>INDEX([1]妻子表!$A:$A,MATCH(F581,[1]妻子表!$B:$B,0))</f>
        <v>M001128W01</v>
      </c>
      <c r="I581" t="str">
        <f>VLOOKUP(H581,[1]妻子表!$A:$D,4,0)</f>
        <v>项氏</v>
      </c>
      <c r="J581" t="s">
        <v>359</v>
      </c>
      <c r="M581" t="s">
        <v>3769</v>
      </c>
      <c r="N581" t="s">
        <v>1939</v>
      </c>
      <c r="O581" t="s">
        <v>3770</v>
      </c>
      <c r="P581" t="s">
        <v>169</v>
      </c>
      <c r="AA581" t="s">
        <v>3771</v>
      </c>
    </row>
    <row r="582" spans="1:27" x14ac:dyDescent="0.25">
      <c r="A582" t="s">
        <v>3772</v>
      </c>
      <c r="B582" t="s">
        <v>3773</v>
      </c>
      <c r="C582" t="s">
        <v>29</v>
      </c>
      <c r="D582" t="s">
        <v>1911</v>
      </c>
      <c r="E582" t="s">
        <v>2623</v>
      </c>
      <c r="F582" t="s">
        <v>3491</v>
      </c>
      <c r="G582" t="s">
        <v>3492</v>
      </c>
      <c r="H582" t="str">
        <f>INDEX([1]妻子表!$A:$A,MATCH(F582,[1]妻子表!$B:$B,0))</f>
        <v>M001131W01</v>
      </c>
      <c r="I582" t="str">
        <f>VLOOKUP(H582,[1]妻子表!$A:$D,4,0)</f>
        <v>唐氏</v>
      </c>
      <c r="J582" t="s">
        <v>359</v>
      </c>
      <c r="M582" t="s">
        <v>3774</v>
      </c>
      <c r="N582" t="s">
        <v>2265</v>
      </c>
      <c r="O582" t="s">
        <v>3775</v>
      </c>
      <c r="P582" t="s">
        <v>224</v>
      </c>
      <c r="AA582" t="s">
        <v>3776</v>
      </c>
    </row>
    <row r="583" spans="1:27" x14ac:dyDescent="0.25">
      <c r="A583" t="s">
        <v>3777</v>
      </c>
      <c r="B583" t="s">
        <v>3778</v>
      </c>
      <c r="C583" t="s">
        <v>29</v>
      </c>
      <c r="D583" t="s">
        <v>1911</v>
      </c>
      <c r="E583" t="s">
        <v>2623</v>
      </c>
      <c r="F583" t="s">
        <v>3507</v>
      </c>
      <c r="G583" t="s">
        <v>3508</v>
      </c>
      <c r="H583" t="str">
        <f>INDEX([1]妻子表!$A:$A,MATCH(F583,[1]妻子表!$B:$B,0))</f>
        <v>M001134W01</v>
      </c>
      <c r="I583" t="str">
        <f>VLOOKUP(H583,[1]妻子表!$A:$D,4,0)</f>
        <v>甘氏</v>
      </c>
      <c r="J583" t="s">
        <v>359</v>
      </c>
      <c r="M583" t="s">
        <v>3779</v>
      </c>
      <c r="N583" t="s">
        <v>2122</v>
      </c>
      <c r="O583" t="s">
        <v>3780</v>
      </c>
      <c r="P583" t="s">
        <v>200</v>
      </c>
      <c r="AA583" t="s">
        <v>3781</v>
      </c>
    </row>
    <row r="584" spans="1:27" x14ac:dyDescent="0.25">
      <c r="A584" t="s">
        <v>3782</v>
      </c>
      <c r="B584" t="s">
        <v>3783</v>
      </c>
      <c r="C584" t="s">
        <v>29</v>
      </c>
      <c r="D584" t="s">
        <v>2338</v>
      </c>
      <c r="E584" t="s">
        <v>2623</v>
      </c>
      <c r="F584" t="s">
        <v>3572</v>
      </c>
      <c r="G584" t="s">
        <v>3573</v>
      </c>
      <c r="J584" t="s">
        <v>359</v>
      </c>
      <c r="M584" t="s">
        <v>3784</v>
      </c>
      <c r="N584" t="s">
        <v>2271</v>
      </c>
      <c r="O584" t="s">
        <v>3785</v>
      </c>
      <c r="P584" t="s">
        <v>108</v>
      </c>
      <c r="AA584" t="s">
        <v>3786</v>
      </c>
    </row>
    <row r="585" spans="1:27" x14ac:dyDescent="0.25">
      <c r="A585" t="s">
        <v>3787</v>
      </c>
      <c r="B585" t="s">
        <v>3788</v>
      </c>
      <c r="C585" t="s">
        <v>29</v>
      </c>
      <c r="D585" t="s">
        <v>2338</v>
      </c>
      <c r="E585" t="s">
        <v>2623</v>
      </c>
      <c r="F585" t="s">
        <v>3726</v>
      </c>
      <c r="G585" t="s">
        <v>3727</v>
      </c>
      <c r="H585" t="str">
        <f>INDEX([1]妻子表!$A:$A,MATCH(F585,[1]妻子表!$B:$B,0))</f>
        <v>M001176W01</v>
      </c>
      <c r="I585" t="str">
        <f>VLOOKUP(H585,[1]妻子表!$A:$D,4,0)</f>
        <v>会氏</v>
      </c>
      <c r="J585" t="s">
        <v>359</v>
      </c>
      <c r="M585" t="s">
        <v>3789</v>
      </c>
      <c r="N585" t="s">
        <v>2271</v>
      </c>
      <c r="O585" t="s">
        <v>3790</v>
      </c>
      <c r="P585" t="s">
        <v>108</v>
      </c>
      <c r="AA585" t="s">
        <v>3791</v>
      </c>
    </row>
    <row r="586" spans="1:27" x14ac:dyDescent="0.25">
      <c r="A586" t="s">
        <v>3792</v>
      </c>
      <c r="B586" t="s">
        <v>3793</v>
      </c>
      <c r="C586" t="s">
        <v>29</v>
      </c>
      <c r="D586" t="s">
        <v>2338</v>
      </c>
      <c r="E586" t="s">
        <v>2623</v>
      </c>
      <c r="F586" t="s">
        <v>3660</v>
      </c>
      <c r="G586" t="s">
        <v>3661</v>
      </c>
      <c r="H586" t="str">
        <f>INDEX([1]妻子表!$A:$A,MATCH(F586,[1]妻子表!$B:$B,0))</f>
        <v>M001163W01</v>
      </c>
      <c r="I586" t="str">
        <f>VLOOKUP(H586,[1]妻子表!$A:$D,4,0)</f>
        <v>彭氏</v>
      </c>
      <c r="J586" t="s">
        <v>359</v>
      </c>
      <c r="T586" s="2" t="s">
        <v>3794</v>
      </c>
      <c r="U586" t="s">
        <v>3795</v>
      </c>
      <c r="AA586" t="s">
        <v>3796</v>
      </c>
    </row>
    <row r="587" spans="1:27" x14ac:dyDescent="0.25">
      <c r="A587" t="s">
        <v>3797</v>
      </c>
      <c r="B587" t="s">
        <v>3798</v>
      </c>
      <c r="C587" t="s">
        <v>29</v>
      </c>
      <c r="D587" t="s">
        <v>2338</v>
      </c>
      <c r="E587" t="s">
        <v>2623</v>
      </c>
      <c r="J587" t="s">
        <v>359</v>
      </c>
      <c r="T587" s="2" t="s">
        <v>3799</v>
      </c>
      <c r="U587" t="s">
        <v>3800</v>
      </c>
      <c r="AA587" t="s">
        <v>3801</v>
      </c>
    </row>
    <row r="588" spans="1:27" x14ac:dyDescent="0.25">
      <c r="A588" t="s">
        <v>3802</v>
      </c>
      <c r="B588" t="s">
        <v>3803</v>
      </c>
      <c r="C588" t="s">
        <v>29</v>
      </c>
      <c r="D588" t="s">
        <v>2338</v>
      </c>
      <c r="E588" t="s">
        <v>2623</v>
      </c>
      <c r="F588" t="s">
        <v>3639</v>
      </c>
      <c r="G588" t="s">
        <v>3640</v>
      </c>
      <c r="H588" t="str">
        <f>INDEX([1]妻子表!$A:$A,MATCH(F588,[1]妻子表!$B:$B,0))</f>
        <v>M001159W01</v>
      </c>
      <c r="I588" t="str">
        <f>VLOOKUP(H588,[1]妻子表!$A:$D,4,0)</f>
        <v>刘氏</v>
      </c>
      <c r="J588" t="s">
        <v>359</v>
      </c>
      <c r="K588" t="s">
        <v>2858</v>
      </c>
      <c r="Q588" t="s">
        <v>3804</v>
      </c>
      <c r="R588" t="s">
        <v>3805</v>
      </c>
      <c r="S588" t="s">
        <v>3806</v>
      </c>
      <c r="T588" s="2" t="s">
        <v>3807</v>
      </c>
      <c r="U588" t="s">
        <v>3808</v>
      </c>
      <c r="AA588" t="s">
        <v>3809</v>
      </c>
    </row>
    <row r="589" spans="1:27" x14ac:dyDescent="0.25">
      <c r="A589" t="s">
        <v>3810</v>
      </c>
      <c r="B589" t="s">
        <v>2093</v>
      </c>
      <c r="C589" t="s">
        <v>29</v>
      </c>
      <c r="D589" t="s">
        <v>2338</v>
      </c>
      <c r="E589" t="s">
        <v>2623</v>
      </c>
      <c r="F589" t="s">
        <v>3639</v>
      </c>
      <c r="G589" t="s">
        <v>3640</v>
      </c>
      <c r="H589" t="str">
        <f>INDEX([1]妻子表!$A:$A,MATCH(F589,[1]妻子表!$B:$B,0))</f>
        <v>M001159W01</v>
      </c>
      <c r="I589" t="str">
        <f>VLOOKUP(H589,[1]妻子表!$A:$D,4,0)</f>
        <v>刘氏</v>
      </c>
      <c r="J589" t="s">
        <v>359</v>
      </c>
      <c r="K589" t="s">
        <v>2820</v>
      </c>
      <c r="T589" s="2" t="s">
        <v>3811</v>
      </c>
      <c r="U589" t="s">
        <v>3812</v>
      </c>
      <c r="AA589" t="s">
        <v>3813</v>
      </c>
    </row>
    <row r="590" spans="1:27" x14ac:dyDescent="0.25">
      <c r="A590" t="s">
        <v>3814</v>
      </c>
      <c r="B590" t="s">
        <v>3815</v>
      </c>
      <c r="C590" t="s">
        <v>29</v>
      </c>
      <c r="D590" t="s">
        <v>2338</v>
      </c>
      <c r="E590" t="s">
        <v>2623</v>
      </c>
      <c r="F590" t="s">
        <v>3639</v>
      </c>
      <c r="G590" t="s">
        <v>3640</v>
      </c>
      <c r="H590" t="str">
        <f>INDEX([1]妻子表!$A:$A,MATCH(F590,[1]妻子表!$B:$B,0))</f>
        <v>M001159W01</v>
      </c>
      <c r="I590" t="str">
        <f>VLOOKUP(H590,[1]妻子表!$A:$D,4,0)</f>
        <v>刘氏</v>
      </c>
      <c r="J590" t="s">
        <v>359</v>
      </c>
      <c r="K590" t="s">
        <v>3816</v>
      </c>
      <c r="AA590" t="s">
        <v>3817</v>
      </c>
    </row>
    <row r="591" spans="1:27" x14ac:dyDescent="0.25">
      <c r="A591" t="s">
        <v>3818</v>
      </c>
      <c r="B591" t="s">
        <v>3819</v>
      </c>
      <c r="C591" t="s">
        <v>3142</v>
      </c>
      <c r="D591" t="s">
        <v>2338</v>
      </c>
      <c r="E591" t="s">
        <v>2623</v>
      </c>
      <c r="J591" t="s">
        <v>359</v>
      </c>
      <c r="AA591" t="s">
        <v>3820</v>
      </c>
    </row>
    <row r="592" spans="1:27" x14ac:dyDescent="0.25">
      <c r="A592" t="s">
        <v>3821</v>
      </c>
      <c r="B592" t="s">
        <v>3822</v>
      </c>
      <c r="C592" t="s">
        <v>29</v>
      </c>
      <c r="D592" t="s">
        <v>2338</v>
      </c>
      <c r="E592" t="s">
        <v>2623</v>
      </c>
      <c r="J592" t="s">
        <v>359</v>
      </c>
      <c r="K592" t="s">
        <v>3823</v>
      </c>
      <c r="T592" s="2" t="s">
        <v>3824</v>
      </c>
      <c r="U592" t="s">
        <v>3825</v>
      </c>
      <c r="AA592" t="s">
        <v>3826</v>
      </c>
    </row>
    <row r="593" spans="1:27" x14ac:dyDescent="0.25">
      <c r="A593" t="s">
        <v>3827</v>
      </c>
      <c r="B593" t="s">
        <v>3828</v>
      </c>
      <c r="C593" t="s">
        <v>3142</v>
      </c>
      <c r="D593" t="s">
        <v>2338</v>
      </c>
      <c r="E593" t="s">
        <v>2623</v>
      </c>
      <c r="J593" t="s">
        <v>359</v>
      </c>
      <c r="K593" t="s">
        <v>2858</v>
      </c>
      <c r="AA593" t="s">
        <v>3829</v>
      </c>
    </row>
    <row r="594" spans="1:27" x14ac:dyDescent="0.25">
      <c r="A594" t="s">
        <v>3830</v>
      </c>
      <c r="B594" t="s">
        <v>3831</v>
      </c>
      <c r="C594" t="s">
        <v>3142</v>
      </c>
      <c r="D594" t="s">
        <v>2338</v>
      </c>
      <c r="E594" t="s">
        <v>2623</v>
      </c>
      <c r="J594" t="s">
        <v>359</v>
      </c>
      <c r="AA594" t="s">
        <v>3832</v>
      </c>
    </row>
    <row r="595" spans="1:27" x14ac:dyDescent="0.25">
      <c r="A595" t="s">
        <v>3833</v>
      </c>
      <c r="B595" t="s">
        <v>1468</v>
      </c>
      <c r="C595" t="s">
        <v>3142</v>
      </c>
      <c r="D595" t="s">
        <v>2338</v>
      </c>
      <c r="E595" t="s">
        <v>2623</v>
      </c>
      <c r="J595" t="s">
        <v>359</v>
      </c>
      <c r="AA595" t="s">
        <v>3834</v>
      </c>
    </row>
    <row r="596" spans="1:27" x14ac:dyDescent="0.25">
      <c r="A596" t="s">
        <v>3835</v>
      </c>
      <c r="B596" t="s">
        <v>3836</v>
      </c>
      <c r="C596" t="s">
        <v>3142</v>
      </c>
      <c r="D596" t="s">
        <v>2338</v>
      </c>
      <c r="E596" t="s">
        <v>2623</v>
      </c>
      <c r="J596" t="s">
        <v>359</v>
      </c>
      <c r="K596" t="s">
        <v>2820</v>
      </c>
      <c r="AA596" t="s">
        <v>3837</v>
      </c>
    </row>
    <row r="597" spans="1:27" x14ac:dyDescent="0.25">
      <c r="A597" t="s">
        <v>3838</v>
      </c>
      <c r="B597" t="s">
        <v>3839</v>
      </c>
      <c r="C597" t="s">
        <v>29</v>
      </c>
      <c r="D597" t="s">
        <v>2338</v>
      </c>
      <c r="E597" t="s">
        <v>2623</v>
      </c>
      <c r="F597" t="s">
        <v>3596</v>
      </c>
      <c r="G597" t="s">
        <v>3597</v>
      </c>
      <c r="H597" t="str">
        <f>INDEX([1]妻子表!$A:$A,MATCH(F597,[1]妻子表!$B:$B,0))</f>
        <v>M001151W01</v>
      </c>
      <c r="I597" t="str">
        <f>VLOOKUP(H597,[1]妻子表!$A:$D,4,0)</f>
        <v>肖氏</v>
      </c>
      <c r="J597" t="s">
        <v>359</v>
      </c>
      <c r="T597" s="2" t="s">
        <v>3840</v>
      </c>
      <c r="U597" t="s">
        <v>3841</v>
      </c>
      <c r="AA597" t="s">
        <v>3842</v>
      </c>
    </row>
    <row r="598" spans="1:27" x14ac:dyDescent="0.25">
      <c r="A598" t="s">
        <v>3843</v>
      </c>
      <c r="B598" t="s">
        <v>3844</v>
      </c>
      <c r="C598" t="s">
        <v>29</v>
      </c>
      <c r="D598" t="s">
        <v>2338</v>
      </c>
      <c r="E598" t="s">
        <v>2623</v>
      </c>
      <c r="F598" t="s">
        <v>3596</v>
      </c>
      <c r="G598" t="s">
        <v>3597</v>
      </c>
      <c r="H598" t="str">
        <f>INDEX([1]妻子表!$A:$A,MATCH(F598,[1]妻子表!$B:$B,0))</f>
        <v>M001151W01</v>
      </c>
      <c r="I598" t="str">
        <f>VLOOKUP(H598,[1]妻子表!$A:$D,4,0)</f>
        <v>肖氏</v>
      </c>
      <c r="J598" t="s">
        <v>359</v>
      </c>
    </row>
    <row r="599" spans="1:27" x14ac:dyDescent="0.25">
      <c r="A599" t="s">
        <v>3845</v>
      </c>
      <c r="B599" t="s">
        <v>3846</v>
      </c>
      <c r="C599" t="s">
        <v>29</v>
      </c>
      <c r="D599" t="s">
        <v>2338</v>
      </c>
      <c r="E599" t="s">
        <v>2623</v>
      </c>
      <c r="F599" t="s">
        <v>3596</v>
      </c>
      <c r="G599" t="s">
        <v>3597</v>
      </c>
      <c r="H599" t="str">
        <f>INDEX([1]妻子表!$A:$A,MATCH(F599,[1]妻子表!$B:$B,0))</f>
        <v>M001151W01</v>
      </c>
      <c r="I599" t="str">
        <f>VLOOKUP(H599,[1]妻子表!$A:$D,4,0)</f>
        <v>肖氏</v>
      </c>
      <c r="J599" t="s">
        <v>359</v>
      </c>
    </row>
    <row r="600" spans="1:27" x14ac:dyDescent="0.25">
      <c r="A600" t="s">
        <v>3847</v>
      </c>
      <c r="B600" t="s">
        <v>3848</v>
      </c>
      <c r="C600" t="s">
        <v>3142</v>
      </c>
      <c r="D600" t="s">
        <v>2338</v>
      </c>
      <c r="E600" t="s">
        <v>2623</v>
      </c>
      <c r="J600" t="s">
        <v>359</v>
      </c>
      <c r="AA600" t="s">
        <v>3849</v>
      </c>
    </row>
    <row r="601" spans="1:27" x14ac:dyDescent="0.25">
      <c r="A601" t="s">
        <v>3850</v>
      </c>
      <c r="B601" t="s">
        <v>3851</v>
      </c>
      <c r="C601" t="s">
        <v>29</v>
      </c>
      <c r="D601" t="s">
        <v>2338</v>
      </c>
      <c r="E601" t="s">
        <v>2623</v>
      </c>
      <c r="J601" t="s">
        <v>359</v>
      </c>
      <c r="K601" t="s">
        <v>2858</v>
      </c>
      <c r="T601" s="2" t="s">
        <v>3852</v>
      </c>
      <c r="U601" t="s">
        <v>3853</v>
      </c>
      <c r="AA601" t="s">
        <v>3854</v>
      </c>
    </row>
    <row r="602" spans="1:27" x14ac:dyDescent="0.25">
      <c r="A602" t="s">
        <v>3855</v>
      </c>
      <c r="B602" t="s">
        <v>3856</v>
      </c>
      <c r="C602" t="s">
        <v>3142</v>
      </c>
      <c r="D602" t="s">
        <v>2338</v>
      </c>
      <c r="E602" t="s">
        <v>2623</v>
      </c>
      <c r="J602" t="s">
        <v>359</v>
      </c>
      <c r="L602" t="s">
        <v>1271</v>
      </c>
      <c r="M602" t="s">
        <v>3857</v>
      </c>
      <c r="N602" t="s">
        <v>3858</v>
      </c>
      <c r="O602" t="s">
        <v>3859</v>
      </c>
      <c r="P602" t="s">
        <v>257</v>
      </c>
      <c r="Q602" t="s">
        <v>3860</v>
      </c>
      <c r="R602" t="s">
        <v>3861</v>
      </c>
      <c r="S602" t="s">
        <v>3862</v>
      </c>
      <c r="AA602" t="s">
        <v>3863</v>
      </c>
    </row>
    <row r="603" spans="1:27" x14ac:dyDescent="0.25">
      <c r="A603" t="s">
        <v>3864</v>
      </c>
      <c r="B603" t="s">
        <v>3865</v>
      </c>
      <c r="C603" t="s">
        <v>29</v>
      </c>
      <c r="D603" t="s">
        <v>1075</v>
      </c>
      <c r="E603" t="s">
        <v>2623</v>
      </c>
      <c r="F603" t="s">
        <v>3797</v>
      </c>
      <c r="G603" t="s">
        <v>3798</v>
      </c>
      <c r="J603" t="s">
        <v>359</v>
      </c>
      <c r="K603" t="s">
        <v>2858</v>
      </c>
      <c r="AA603" t="s">
        <v>3866</v>
      </c>
    </row>
    <row r="604" spans="1:27" x14ac:dyDescent="0.25">
      <c r="A604" t="s">
        <v>3867</v>
      </c>
      <c r="B604" t="s">
        <v>3868</v>
      </c>
      <c r="C604" t="s">
        <v>29</v>
      </c>
      <c r="D604" t="s">
        <v>1075</v>
      </c>
      <c r="E604" t="s">
        <v>2623</v>
      </c>
      <c r="F604" t="s">
        <v>3797</v>
      </c>
      <c r="G604" t="s">
        <v>3798</v>
      </c>
      <c r="J604" t="s">
        <v>359</v>
      </c>
      <c r="K604" t="s">
        <v>2858</v>
      </c>
      <c r="T604" s="2" t="s">
        <v>3869</v>
      </c>
      <c r="U604" t="s">
        <v>3870</v>
      </c>
      <c r="AA604" t="s">
        <v>3871</v>
      </c>
    </row>
    <row r="605" spans="1:27" x14ac:dyDescent="0.25">
      <c r="A605" t="s">
        <v>3872</v>
      </c>
      <c r="B605" t="s">
        <v>3873</v>
      </c>
      <c r="C605" t="s">
        <v>29</v>
      </c>
      <c r="D605" t="s">
        <v>1075</v>
      </c>
      <c r="E605" t="s">
        <v>2623</v>
      </c>
      <c r="F605" t="s">
        <v>3802</v>
      </c>
      <c r="G605" t="s">
        <v>3803</v>
      </c>
      <c r="H605" t="str">
        <f>INDEX([1]妻子表!$A:$A,MATCH(F605,[1]妻子表!$B:$B,0))</f>
        <v>M001190W01</v>
      </c>
      <c r="I605" t="str">
        <f>VLOOKUP(H605,[1]妻子表!$A:$D,4,0)</f>
        <v>刘情珠</v>
      </c>
      <c r="J605" t="s">
        <v>359</v>
      </c>
      <c r="K605" t="s">
        <v>2858</v>
      </c>
      <c r="L605" t="s">
        <v>327</v>
      </c>
      <c r="M605" t="s">
        <v>3874</v>
      </c>
      <c r="N605" t="s">
        <v>3875</v>
      </c>
      <c r="O605" t="s">
        <v>3876</v>
      </c>
      <c r="P605" t="s">
        <v>224</v>
      </c>
      <c r="Q605" t="s">
        <v>3877</v>
      </c>
      <c r="R605" t="s">
        <v>3878</v>
      </c>
      <c r="S605" t="s">
        <v>3879</v>
      </c>
      <c r="T605" s="2" t="s">
        <v>3880</v>
      </c>
      <c r="U605" t="s">
        <v>3881</v>
      </c>
      <c r="AA605" t="s">
        <v>3882</v>
      </c>
    </row>
    <row r="606" spans="1:27" x14ac:dyDescent="0.25">
      <c r="A606" t="s">
        <v>3883</v>
      </c>
      <c r="B606" t="s">
        <v>3884</v>
      </c>
      <c r="C606" t="s">
        <v>29</v>
      </c>
      <c r="D606" t="s">
        <v>1075</v>
      </c>
      <c r="E606" t="s">
        <v>2623</v>
      </c>
      <c r="F606" t="s">
        <v>3821</v>
      </c>
      <c r="G606" t="s">
        <v>3822</v>
      </c>
      <c r="J606" t="s">
        <v>359</v>
      </c>
      <c r="K606" t="s">
        <v>2858</v>
      </c>
      <c r="T606" s="2" t="s">
        <v>3885</v>
      </c>
      <c r="U606" t="s">
        <v>3886</v>
      </c>
      <c r="AA606" t="s">
        <v>3887</v>
      </c>
    </row>
    <row r="607" spans="1:27" x14ac:dyDescent="0.25">
      <c r="A607" t="s">
        <v>3888</v>
      </c>
      <c r="B607" t="s">
        <v>3889</v>
      </c>
      <c r="C607" t="s">
        <v>29</v>
      </c>
      <c r="D607" t="s">
        <v>1075</v>
      </c>
      <c r="E607" t="s">
        <v>2623</v>
      </c>
      <c r="F607" t="s">
        <v>3827</v>
      </c>
      <c r="G607" t="s">
        <v>3828</v>
      </c>
      <c r="J607" t="s">
        <v>359</v>
      </c>
      <c r="K607" t="s">
        <v>2820</v>
      </c>
      <c r="T607" s="2" t="s">
        <v>3890</v>
      </c>
      <c r="U607" t="s">
        <v>3891</v>
      </c>
      <c r="AA607" t="s">
        <v>3892</v>
      </c>
    </row>
    <row r="608" spans="1:27" x14ac:dyDescent="0.25">
      <c r="A608" t="s">
        <v>3893</v>
      </c>
      <c r="B608" t="s">
        <v>3894</v>
      </c>
      <c r="C608" t="s">
        <v>29</v>
      </c>
      <c r="D608" t="s">
        <v>1075</v>
      </c>
      <c r="E608" t="s">
        <v>2623</v>
      </c>
      <c r="F608" t="s">
        <v>3827</v>
      </c>
      <c r="G608" t="s">
        <v>3828</v>
      </c>
      <c r="J608" t="s">
        <v>359</v>
      </c>
      <c r="L608" t="s">
        <v>553</v>
      </c>
      <c r="M608" t="s">
        <v>3895</v>
      </c>
      <c r="N608" t="s">
        <v>2459</v>
      </c>
      <c r="O608" t="s">
        <v>3896</v>
      </c>
      <c r="P608" t="s">
        <v>240</v>
      </c>
      <c r="Q608" t="s">
        <v>3897</v>
      </c>
      <c r="R608" t="s">
        <v>3898</v>
      </c>
      <c r="S608" t="s">
        <v>3899</v>
      </c>
      <c r="T608" s="2" t="s">
        <v>3900</v>
      </c>
      <c r="U608" t="s">
        <v>3901</v>
      </c>
      <c r="AA608" t="s">
        <v>3902</v>
      </c>
    </row>
    <row r="609" spans="1:27" x14ac:dyDescent="0.25">
      <c r="A609" t="s">
        <v>3903</v>
      </c>
      <c r="B609" t="s">
        <v>3904</v>
      </c>
      <c r="C609" t="s">
        <v>29</v>
      </c>
      <c r="D609" t="s">
        <v>1075</v>
      </c>
      <c r="E609" t="s">
        <v>2623</v>
      </c>
      <c r="F609" t="s">
        <v>3830</v>
      </c>
      <c r="G609" t="s">
        <v>3831</v>
      </c>
      <c r="J609" t="s">
        <v>359</v>
      </c>
      <c r="K609" t="s">
        <v>2820</v>
      </c>
      <c r="L609" t="s">
        <v>403</v>
      </c>
      <c r="M609" t="s">
        <v>3905</v>
      </c>
      <c r="N609" t="s">
        <v>3906</v>
      </c>
      <c r="O609" t="s">
        <v>3907</v>
      </c>
      <c r="P609" t="s">
        <v>200</v>
      </c>
      <c r="Q609" t="s">
        <v>3908</v>
      </c>
      <c r="R609" t="s">
        <v>2509</v>
      </c>
      <c r="S609" t="s">
        <v>3909</v>
      </c>
      <c r="T609" s="2" t="s">
        <v>3910</v>
      </c>
      <c r="U609" t="s">
        <v>3911</v>
      </c>
      <c r="AA609" t="s">
        <v>3912</v>
      </c>
    </row>
    <row r="610" spans="1:27" x14ac:dyDescent="0.25">
      <c r="A610" t="s">
        <v>3913</v>
      </c>
      <c r="B610" t="s">
        <v>3914</v>
      </c>
      <c r="C610" t="s">
        <v>29</v>
      </c>
      <c r="D610" t="s">
        <v>1075</v>
      </c>
      <c r="E610" t="s">
        <v>2623</v>
      </c>
      <c r="F610" t="s">
        <v>3833</v>
      </c>
      <c r="G610" t="s">
        <v>1468</v>
      </c>
      <c r="J610" t="s">
        <v>359</v>
      </c>
      <c r="K610" t="s">
        <v>2820</v>
      </c>
      <c r="T610" s="2" t="s">
        <v>3915</v>
      </c>
      <c r="U610" t="s">
        <v>3916</v>
      </c>
      <c r="AA610" t="s">
        <v>3917</v>
      </c>
    </row>
    <row r="611" spans="1:27" x14ac:dyDescent="0.25">
      <c r="A611" t="s">
        <v>3918</v>
      </c>
      <c r="B611" t="s">
        <v>3919</v>
      </c>
      <c r="C611" t="s">
        <v>29</v>
      </c>
      <c r="D611" t="s">
        <v>1075</v>
      </c>
      <c r="E611" t="s">
        <v>2623</v>
      </c>
      <c r="F611" t="s">
        <v>3830</v>
      </c>
      <c r="G611" t="s">
        <v>3831</v>
      </c>
      <c r="J611" t="s">
        <v>359</v>
      </c>
      <c r="K611" t="s">
        <v>2820</v>
      </c>
      <c r="T611" s="2" t="s">
        <v>3920</v>
      </c>
      <c r="U611" t="s">
        <v>3921</v>
      </c>
      <c r="AA611" t="s">
        <v>3922</v>
      </c>
    </row>
    <row r="612" spans="1:27" x14ac:dyDescent="0.25">
      <c r="A612" t="s">
        <v>3923</v>
      </c>
      <c r="B612" t="s">
        <v>3924</v>
      </c>
      <c r="C612" t="s">
        <v>29</v>
      </c>
      <c r="D612" t="s">
        <v>1075</v>
      </c>
      <c r="E612" t="s">
        <v>2623</v>
      </c>
      <c r="F612" t="s">
        <v>3838</v>
      </c>
      <c r="G612" t="s">
        <v>3839</v>
      </c>
      <c r="H612" t="str">
        <f>INDEX([1]妻子表!$A:$A,MATCH(F612,[1]妻子表!$B:$B,0))</f>
        <v>M001199W01</v>
      </c>
      <c r="I612" t="str">
        <f>VLOOKUP(H612,[1]妻子表!$A:$D,4,0)</f>
        <v>刘润珠</v>
      </c>
      <c r="J612" t="s">
        <v>359</v>
      </c>
      <c r="T612" s="2" t="s">
        <v>3925</v>
      </c>
      <c r="U612" t="s">
        <v>3926</v>
      </c>
      <c r="AA612" t="s">
        <v>3927</v>
      </c>
    </row>
    <row r="613" spans="1:27" x14ac:dyDescent="0.25">
      <c r="A613" t="s">
        <v>3928</v>
      </c>
      <c r="B613" t="s">
        <v>3929</v>
      </c>
      <c r="C613" t="s">
        <v>29</v>
      </c>
      <c r="D613" t="s">
        <v>1075</v>
      </c>
      <c r="E613" t="s">
        <v>2623</v>
      </c>
      <c r="J613" t="s">
        <v>359</v>
      </c>
      <c r="AA613" t="s">
        <v>3930</v>
      </c>
    </row>
    <row r="614" spans="1:27" x14ac:dyDescent="0.25">
      <c r="A614" t="s">
        <v>3931</v>
      </c>
      <c r="B614" t="s">
        <v>3932</v>
      </c>
      <c r="C614" t="s">
        <v>29</v>
      </c>
      <c r="D614" t="s">
        <v>1075</v>
      </c>
      <c r="E614" t="s">
        <v>2623</v>
      </c>
      <c r="J614" t="s">
        <v>359</v>
      </c>
    </row>
    <row r="615" spans="1:27" x14ac:dyDescent="0.25">
      <c r="A615" t="s">
        <v>3933</v>
      </c>
      <c r="B615" t="s">
        <v>3934</v>
      </c>
      <c r="C615" t="s">
        <v>29</v>
      </c>
      <c r="D615" t="s">
        <v>1075</v>
      </c>
      <c r="E615" t="s">
        <v>2623</v>
      </c>
      <c r="F615" t="s">
        <v>3847</v>
      </c>
      <c r="G615" t="s">
        <v>3848</v>
      </c>
      <c r="J615" t="s">
        <v>359</v>
      </c>
      <c r="K615" t="s">
        <v>2858</v>
      </c>
      <c r="L615" t="s">
        <v>1328</v>
      </c>
      <c r="M615" t="s">
        <v>3935</v>
      </c>
      <c r="N615" t="s">
        <v>3936</v>
      </c>
      <c r="O615" t="s">
        <v>3937</v>
      </c>
      <c r="P615" t="s">
        <v>108</v>
      </c>
      <c r="Q615" t="s">
        <v>3938</v>
      </c>
      <c r="R615" t="s">
        <v>3939</v>
      </c>
      <c r="S615" t="s">
        <v>3940</v>
      </c>
      <c r="T615" s="2" t="s">
        <v>3941</v>
      </c>
      <c r="U615" t="s">
        <v>3942</v>
      </c>
      <c r="AA615" t="s">
        <v>3943</v>
      </c>
    </row>
    <row r="616" spans="1:27" x14ac:dyDescent="0.25">
      <c r="A616" t="s">
        <v>3944</v>
      </c>
      <c r="B616" t="s">
        <v>3945</v>
      </c>
      <c r="C616" t="s">
        <v>29</v>
      </c>
      <c r="D616" t="s">
        <v>1075</v>
      </c>
      <c r="E616" t="s">
        <v>2623</v>
      </c>
      <c r="F616" t="s">
        <v>3792</v>
      </c>
      <c r="G616" t="s">
        <v>3793</v>
      </c>
      <c r="H616" t="str">
        <f>INDEX([1]妻子表!$A:$A,MATCH(F616,[1]妻子表!$B:$B,0))</f>
        <v>M001188W01</v>
      </c>
      <c r="I616" t="str">
        <f>VLOOKUP(H616,[1]妻子表!$A:$D,4,0)</f>
        <v>李喜珠</v>
      </c>
      <c r="J616" t="s">
        <v>359</v>
      </c>
      <c r="K616" t="s">
        <v>2858</v>
      </c>
      <c r="Q616" t="s">
        <v>3946</v>
      </c>
      <c r="R616" t="s">
        <v>3947</v>
      </c>
      <c r="S616" t="s">
        <v>3948</v>
      </c>
      <c r="T616" s="2" t="s">
        <v>3949</v>
      </c>
      <c r="U616" t="s">
        <v>3950</v>
      </c>
      <c r="AA616" t="s">
        <v>3951</v>
      </c>
    </row>
    <row r="617" spans="1:27" x14ac:dyDescent="0.25">
      <c r="A617" t="s">
        <v>3952</v>
      </c>
      <c r="B617" t="s">
        <v>3953</v>
      </c>
      <c r="C617" t="s">
        <v>29</v>
      </c>
      <c r="D617" t="s">
        <v>1075</v>
      </c>
      <c r="E617" t="s">
        <v>2623</v>
      </c>
      <c r="F617" t="s">
        <v>3855</v>
      </c>
      <c r="G617" t="s">
        <v>3856</v>
      </c>
      <c r="J617" t="s">
        <v>359</v>
      </c>
      <c r="L617" t="s">
        <v>3153</v>
      </c>
      <c r="M617" t="s">
        <v>3954</v>
      </c>
      <c r="N617" t="s">
        <v>3955</v>
      </c>
      <c r="O617" t="s">
        <v>3956</v>
      </c>
      <c r="P617" t="s">
        <v>315</v>
      </c>
      <c r="Q617" t="s">
        <v>3957</v>
      </c>
      <c r="R617" t="s">
        <v>3958</v>
      </c>
      <c r="S617" t="s">
        <v>3959</v>
      </c>
      <c r="AA617" t="s">
        <v>3960</v>
      </c>
    </row>
    <row r="618" spans="1:27" x14ac:dyDescent="0.25">
      <c r="A618" t="s">
        <v>3961</v>
      </c>
      <c r="B618" t="s">
        <v>3962</v>
      </c>
      <c r="C618" t="s">
        <v>3963</v>
      </c>
      <c r="D618" t="s">
        <v>1075</v>
      </c>
      <c r="E618" t="s">
        <v>2623</v>
      </c>
      <c r="F618" t="s">
        <v>3802</v>
      </c>
      <c r="G618" t="s">
        <v>3803</v>
      </c>
      <c r="H618" t="str">
        <f>INDEX([1]妻子表!$A:$A,MATCH(F618,[1]妻子表!$B:$B,0))</f>
        <v>M001190W01</v>
      </c>
      <c r="I618" t="str">
        <f>VLOOKUP(H618,[1]妻子表!$A:$D,4,0)</f>
        <v>刘情珠</v>
      </c>
      <c r="J618" t="s">
        <v>359</v>
      </c>
      <c r="V618" s="3" t="str">
        <f>_xlfn.XLOOKUP(A618,[2]女婿表!$D:$D,[2]女婿表!$A:$A)</f>
        <v>M001220S01</v>
      </c>
      <c r="W618" t="str">
        <f>_xlfn.XLOOKUP(V618,[2]女婿表!$A:$A,[2]女婿表!$B:$B,0)</f>
        <v>高执相</v>
      </c>
      <c r="AA618" t="s">
        <v>3964</v>
      </c>
    </row>
    <row r="619" spans="1:27" x14ac:dyDescent="0.25">
      <c r="A619" t="s">
        <v>3965</v>
      </c>
      <c r="B619" t="s">
        <v>3966</v>
      </c>
      <c r="C619" t="s">
        <v>3963</v>
      </c>
      <c r="D619" t="s">
        <v>1075</v>
      </c>
      <c r="E619" t="s">
        <v>2623</v>
      </c>
      <c r="F619" t="s">
        <v>3810</v>
      </c>
      <c r="G619" t="s">
        <v>2093</v>
      </c>
      <c r="H619" t="str">
        <f>INDEX([1]妻子表!$A:$A,MATCH(F619,[1]妻子表!$B:$B,0))</f>
        <v>M001191W01</v>
      </c>
      <c r="I619" t="str">
        <f>VLOOKUP(H619,[1]妻子表!$A:$D,4,0)</f>
        <v>张氏良娘</v>
      </c>
      <c r="J619" t="s">
        <v>359</v>
      </c>
      <c r="V619" s="3"/>
    </row>
    <row r="620" spans="1:27" x14ac:dyDescent="0.25">
      <c r="A620" t="s">
        <v>3967</v>
      </c>
      <c r="B620" t="s">
        <v>3968</v>
      </c>
      <c r="C620" t="s">
        <v>29</v>
      </c>
      <c r="D620" t="s">
        <v>2482</v>
      </c>
      <c r="E620" t="s">
        <v>2623</v>
      </c>
      <c r="F620" t="s">
        <v>3864</v>
      </c>
      <c r="G620" t="s">
        <v>3865</v>
      </c>
      <c r="J620" t="s">
        <v>359</v>
      </c>
      <c r="K620" t="s">
        <v>2858</v>
      </c>
      <c r="Q620" t="s">
        <v>3969</v>
      </c>
      <c r="R620" t="s">
        <v>2462</v>
      </c>
      <c r="S620" t="s">
        <v>172</v>
      </c>
      <c r="T620" s="2" t="s">
        <v>3970</v>
      </c>
      <c r="U620" t="s">
        <v>3971</v>
      </c>
      <c r="AA620" t="s">
        <v>3972</v>
      </c>
    </row>
    <row r="621" spans="1:27" x14ac:dyDescent="0.25">
      <c r="A621" t="s">
        <v>3973</v>
      </c>
      <c r="B621" t="s">
        <v>3974</v>
      </c>
      <c r="C621" t="s">
        <v>29</v>
      </c>
      <c r="D621" t="s">
        <v>2482</v>
      </c>
      <c r="E621" t="s">
        <v>2623</v>
      </c>
      <c r="F621" t="s">
        <v>3864</v>
      </c>
      <c r="G621" t="s">
        <v>3865</v>
      </c>
      <c r="J621" t="s">
        <v>359</v>
      </c>
      <c r="AA621" t="s">
        <v>2678</v>
      </c>
    </row>
    <row r="622" spans="1:27" x14ac:dyDescent="0.25">
      <c r="A622" t="s">
        <v>3975</v>
      </c>
      <c r="B622" t="s">
        <v>3976</v>
      </c>
      <c r="C622" t="s">
        <v>29</v>
      </c>
      <c r="D622" t="s">
        <v>2482</v>
      </c>
      <c r="E622" t="s">
        <v>2623</v>
      </c>
      <c r="F622" t="s">
        <v>3867</v>
      </c>
      <c r="G622" t="s">
        <v>3868</v>
      </c>
      <c r="H622" t="str">
        <f>INDEX([1]妻子表!$A:$A,MATCH(F622,[1]妻子表!$B:$B,0))</f>
        <v>M001206W01</v>
      </c>
      <c r="I622" t="str">
        <f>VLOOKUP(H622,[1]妻子表!$A:$D,4,0)</f>
        <v>颜如珠</v>
      </c>
      <c r="J622" t="s">
        <v>359</v>
      </c>
      <c r="K622" t="s">
        <v>2858</v>
      </c>
      <c r="T622" s="2" t="s">
        <v>3977</v>
      </c>
      <c r="U622" t="s">
        <v>3978</v>
      </c>
      <c r="AA622" t="s">
        <v>3979</v>
      </c>
    </row>
    <row r="623" spans="1:27" x14ac:dyDescent="0.25">
      <c r="A623" t="s">
        <v>3980</v>
      </c>
      <c r="B623" t="s">
        <v>3981</v>
      </c>
      <c r="C623" t="s">
        <v>29</v>
      </c>
      <c r="D623" t="s">
        <v>2482</v>
      </c>
      <c r="E623" t="s">
        <v>2623</v>
      </c>
      <c r="F623" t="s">
        <v>3867</v>
      </c>
      <c r="G623" t="s">
        <v>3868</v>
      </c>
      <c r="H623" t="str">
        <f>INDEX([1]妻子表!$A:$A,MATCH(F623,[1]妻子表!$B:$B,0))</f>
        <v>M001206W01</v>
      </c>
      <c r="I623" t="str">
        <f>VLOOKUP(H623,[1]妻子表!$A:$D,4,0)</f>
        <v>颜如珠</v>
      </c>
      <c r="J623" t="s">
        <v>359</v>
      </c>
      <c r="K623" t="s">
        <v>2820</v>
      </c>
      <c r="T623" s="2" t="s">
        <v>3982</v>
      </c>
      <c r="U623" t="s">
        <v>3983</v>
      </c>
      <c r="AA623" t="s">
        <v>3984</v>
      </c>
    </row>
    <row r="624" spans="1:27" x14ac:dyDescent="0.25">
      <c r="A624" t="s">
        <v>3985</v>
      </c>
      <c r="B624" t="s">
        <v>3986</v>
      </c>
      <c r="C624" t="s">
        <v>29</v>
      </c>
      <c r="D624" t="s">
        <v>2482</v>
      </c>
      <c r="E624" t="s">
        <v>2623</v>
      </c>
      <c r="F624" t="s">
        <v>3872</v>
      </c>
      <c r="G624" t="s">
        <v>3873</v>
      </c>
      <c r="H624" t="str">
        <f>INDEX([1]妻子表!$A:$A,MATCH(F624,[1]妻子表!$B:$B,0))</f>
        <v>M001207W01</v>
      </c>
      <c r="I624" t="str">
        <f>VLOOKUP(H624,[1]妻子表!$A:$D,4,0)</f>
        <v>杨多珠</v>
      </c>
      <c r="J624" t="s">
        <v>359</v>
      </c>
      <c r="K624" t="s">
        <v>2858</v>
      </c>
      <c r="L624" t="s">
        <v>2625</v>
      </c>
      <c r="M624" t="s">
        <v>3987</v>
      </c>
      <c r="N624" t="s">
        <v>3988</v>
      </c>
      <c r="O624" t="s">
        <v>3989</v>
      </c>
      <c r="P624" t="s">
        <v>224</v>
      </c>
      <c r="Q624" t="s">
        <v>3990</v>
      </c>
      <c r="R624" t="s">
        <v>3991</v>
      </c>
      <c r="S624" t="s">
        <v>3992</v>
      </c>
      <c r="T624" s="2" t="s">
        <v>3993</v>
      </c>
      <c r="U624" t="s">
        <v>3994</v>
      </c>
      <c r="Z624" t="s">
        <v>5585</v>
      </c>
      <c r="AA624" t="s">
        <v>5584</v>
      </c>
    </row>
    <row r="625" spans="1:27" x14ac:dyDescent="0.25">
      <c r="A625" t="s">
        <v>3995</v>
      </c>
      <c r="B625" t="s">
        <v>3996</v>
      </c>
      <c r="C625" t="s">
        <v>29</v>
      </c>
      <c r="D625" t="s">
        <v>2482</v>
      </c>
      <c r="E625" t="s">
        <v>2623</v>
      </c>
      <c r="F625" t="s">
        <v>3883</v>
      </c>
      <c r="G625" t="s">
        <v>3884</v>
      </c>
      <c r="H625" t="str">
        <f>INDEX([1]妻子表!$A:$A,MATCH(F625,[1]妻子表!$B:$B,0))</f>
        <v>M001208W01</v>
      </c>
      <c r="I625" t="str">
        <f>VLOOKUP(H625,[1]妻子表!$A:$D,4,0)</f>
        <v>彭意珠</v>
      </c>
      <c r="J625" t="s">
        <v>359</v>
      </c>
      <c r="M625" t="s">
        <v>3997</v>
      </c>
      <c r="N625" t="s">
        <v>2522</v>
      </c>
      <c r="O625" t="s">
        <v>3998</v>
      </c>
      <c r="P625" t="s">
        <v>407</v>
      </c>
      <c r="T625" s="2" t="s">
        <v>3999</v>
      </c>
      <c r="U625" t="s">
        <v>4000</v>
      </c>
      <c r="AA625" t="s">
        <v>4001</v>
      </c>
    </row>
    <row r="626" spans="1:27" x14ac:dyDescent="0.25">
      <c r="A626" t="s">
        <v>4002</v>
      </c>
      <c r="B626" t="s">
        <v>4003</v>
      </c>
      <c r="C626" t="s">
        <v>29</v>
      </c>
      <c r="D626" t="s">
        <v>2482</v>
      </c>
      <c r="E626" t="s">
        <v>2623</v>
      </c>
      <c r="F626" t="s">
        <v>3888</v>
      </c>
      <c r="G626" t="s">
        <v>3889</v>
      </c>
      <c r="H626" t="str">
        <f>INDEX([1]妻子表!$A:$A,MATCH(F626,[1]妻子表!$B:$B,0))</f>
        <v>M001209W01</v>
      </c>
      <c r="I626" t="str">
        <f>VLOOKUP(H626,[1]妻子表!$A:$D,4,0)</f>
        <v>刘救珠</v>
      </c>
      <c r="J626" t="s">
        <v>359</v>
      </c>
      <c r="K626" t="s">
        <v>2820</v>
      </c>
      <c r="M626" t="s">
        <v>4004</v>
      </c>
      <c r="N626" t="s">
        <v>4005</v>
      </c>
      <c r="O626" t="s">
        <v>4006</v>
      </c>
      <c r="P626" t="s">
        <v>407</v>
      </c>
      <c r="T626" s="2" t="s">
        <v>4007</v>
      </c>
      <c r="U626" t="s">
        <v>4008</v>
      </c>
      <c r="AA626" t="s">
        <v>4009</v>
      </c>
    </row>
    <row r="627" spans="1:27" x14ac:dyDescent="0.25">
      <c r="A627" t="s">
        <v>4010</v>
      </c>
      <c r="B627" t="s">
        <v>4011</v>
      </c>
      <c r="C627" t="s">
        <v>29</v>
      </c>
      <c r="D627" t="s">
        <v>2482</v>
      </c>
      <c r="E627" t="s">
        <v>2623</v>
      </c>
      <c r="F627" t="s">
        <v>3893</v>
      </c>
      <c r="G627" t="s">
        <v>3894</v>
      </c>
      <c r="H627" t="str">
        <f>INDEX([1]妻子表!$A:$A,MATCH(F627,[1]妻子表!$B:$B,0))</f>
        <v>M001210W01</v>
      </c>
      <c r="I627" t="str">
        <f>VLOOKUP(H627,[1]妻子表!$A:$D,4,0)</f>
        <v>陈意珠</v>
      </c>
      <c r="J627" t="s">
        <v>359</v>
      </c>
      <c r="K627" t="s">
        <v>2858</v>
      </c>
      <c r="L627" t="s">
        <v>1215</v>
      </c>
      <c r="M627" t="s">
        <v>4012</v>
      </c>
      <c r="N627" t="s">
        <v>4013</v>
      </c>
      <c r="O627" t="s">
        <v>4014</v>
      </c>
      <c r="P627" t="s">
        <v>184</v>
      </c>
      <c r="Q627" t="s">
        <v>4015</v>
      </c>
      <c r="R627" t="s">
        <v>4016</v>
      </c>
      <c r="S627" t="s">
        <v>4017</v>
      </c>
      <c r="T627" s="2" t="s">
        <v>4018</v>
      </c>
      <c r="U627" t="s">
        <v>4019</v>
      </c>
      <c r="AA627" t="s">
        <v>4020</v>
      </c>
    </row>
    <row r="628" spans="1:27" x14ac:dyDescent="0.25">
      <c r="A628" t="s">
        <v>4021</v>
      </c>
      <c r="B628" t="s">
        <v>4022</v>
      </c>
      <c r="C628" t="s">
        <v>29</v>
      </c>
      <c r="D628" t="s">
        <v>2482</v>
      </c>
      <c r="E628" t="s">
        <v>2623</v>
      </c>
      <c r="F628" t="s">
        <v>3893</v>
      </c>
      <c r="G628" t="s">
        <v>3894</v>
      </c>
      <c r="H628" t="str">
        <f>INDEX([1]妻子表!$A:$A,MATCH(F628,[1]妻子表!$B:$B,0))</f>
        <v>M001210W01</v>
      </c>
      <c r="I628" t="str">
        <f>VLOOKUP(H628,[1]妻子表!$A:$D,4,0)</f>
        <v>陈意珠</v>
      </c>
      <c r="J628" t="s">
        <v>359</v>
      </c>
      <c r="K628" t="s">
        <v>2858</v>
      </c>
      <c r="L628" t="s">
        <v>1328</v>
      </c>
      <c r="M628" t="s">
        <v>4023</v>
      </c>
      <c r="N628" t="s">
        <v>4024</v>
      </c>
      <c r="O628" t="s">
        <v>4025</v>
      </c>
      <c r="P628" t="s">
        <v>315</v>
      </c>
      <c r="Q628" t="s">
        <v>4026</v>
      </c>
      <c r="R628" t="s">
        <v>4027</v>
      </c>
      <c r="S628" t="s">
        <v>4028</v>
      </c>
      <c r="T628" s="2" t="s">
        <v>4029</v>
      </c>
      <c r="U628" t="s">
        <v>4030</v>
      </c>
      <c r="AA628" t="s">
        <v>4031</v>
      </c>
    </row>
    <row r="629" spans="1:27" x14ac:dyDescent="0.25">
      <c r="A629" t="s">
        <v>4032</v>
      </c>
      <c r="B629" t="s">
        <v>4033</v>
      </c>
      <c r="C629" t="s">
        <v>29</v>
      </c>
      <c r="D629" t="s">
        <v>2482</v>
      </c>
      <c r="E629" t="s">
        <v>2623</v>
      </c>
      <c r="F629" t="s">
        <v>3903</v>
      </c>
      <c r="G629" t="s">
        <v>3904</v>
      </c>
      <c r="H629" t="str">
        <f>INDEX([1]妻子表!$A:$A,MATCH(F629,[1]妻子表!$B:$B,0))</f>
        <v>M001211W01</v>
      </c>
      <c r="I629" t="str">
        <f>VLOOKUP(H629,[1]妻子表!$A:$D,4,0)</f>
        <v>王黄英</v>
      </c>
      <c r="J629" t="s">
        <v>359</v>
      </c>
      <c r="K629" t="s">
        <v>2858</v>
      </c>
      <c r="L629" t="s">
        <v>467</v>
      </c>
      <c r="M629" t="s">
        <v>4034</v>
      </c>
      <c r="N629" t="s">
        <v>4035</v>
      </c>
      <c r="O629" t="s">
        <v>4036</v>
      </c>
      <c r="P629" t="s">
        <v>458</v>
      </c>
      <c r="Q629" t="s">
        <v>4037</v>
      </c>
      <c r="R629" t="s">
        <v>4038</v>
      </c>
      <c r="S629" t="s">
        <v>4039</v>
      </c>
      <c r="T629" s="2" t="s">
        <v>4040</v>
      </c>
      <c r="U629" t="s">
        <v>4041</v>
      </c>
      <c r="AA629" t="s">
        <v>4042</v>
      </c>
    </row>
    <row r="630" spans="1:27" x14ac:dyDescent="0.25">
      <c r="A630" t="s">
        <v>4043</v>
      </c>
      <c r="B630" t="s">
        <v>4044</v>
      </c>
      <c r="C630" t="s">
        <v>29</v>
      </c>
      <c r="D630" t="s">
        <v>2482</v>
      </c>
      <c r="E630" t="s">
        <v>2623</v>
      </c>
      <c r="F630" t="s">
        <v>3903</v>
      </c>
      <c r="G630" t="s">
        <v>3904</v>
      </c>
      <c r="H630" t="str">
        <f>INDEX([1]妻子表!$A:$A,MATCH(F630,[1]妻子表!$B:$B,0))</f>
        <v>M001211W01</v>
      </c>
      <c r="I630" t="str">
        <f>VLOOKUP(H630,[1]妻子表!$A:$D,4,0)</f>
        <v>王黄英</v>
      </c>
      <c r="J630" t="s">
        <v>359</v>
      </c>
      <c r="K630" t="s">
        <v>4045</v>
      </c>
      <c r="L630" t="s">
        <v>553</v>
      </c>
      <c r="M630" t="s">
        <v>4046</v>
      </c>
      <c r="N630" t="s">
        <v>4047</v>
      </c>
      <c r="O630" t="s">
        <v>1616</v>
      </c>
      <c r="P630" t="s">
        <v>240</v>
      </c>
      <c r="Q630" t="s">
        <v>4048</v>
      </c>
      <c r="R630" t="s">
        <v>4049</v>
      </c>
      <c r="S630" t="s">
        <v>4050</v>
      </c>
      <c r="T630" s="2" t="s">
        <v>4051</v>
      </c>
      <c r="U630" t="s">
        <v>4052</v>
      </c>
      <c r="AA630" t="s">
        <v>4053</v>
      </c>
    </row>
    <row r="631" spans="1:27" x14ac:dyDescent="0.25">
      <c r="A631" t="s">
        <v>4054</v>
      </c>
      <c r="B631" t="s">
        <v>4055</v>
      </c>
      <c r="C631" t="s">
        <v>29</v>
      </c>
      <c r="D631" t="s">
        <v>2482</v>
      </c>
      <c r="E631" t="s">
        <v>2623</v>
      </c>
      <c r="F631" t="s">
        <v>3903</v>
      </c>
      <c r="G631" t="s">
        <v>3904</v>
      </c>
      <c r="H631" t="str">
        <f>INDEX([1]妻子表!$A:$A,MATCH(F631,[1]妻子表!$B:$B,0))</f>
        <v>M001211W01</v>
      </c>
      <c r="I631" t="str">
        <f>VLOOKUP(H631,[1]妻子表!$A:$D,4,0)</f>
        <v>王黄英</v>
      </c>
      <c r="J631" t="s">
        <v>359</v>
      </c>
      <c r="K631" t="s">
        <v>2820</v>
      </c>
      <c r="L631" t="s">
        <v>553</v>
      </c>
      <c r="M631" t="s">
        <v>4056</v>
      </c>
      <c r="N631" t="s">
        <v>3958</v>
      </c>
      <c r="O631" t="s">
        <v>4057</v>
      </c>
      <c r="P631" t="s">
        <v>407</v>
      </c>
      <c r="Q631" t="s">
        <v>4058</v>
      </c>
      <c r="R631" t="s">
        <v>4059</v>
      </c>
      <c r="S631" t="s">
        <v>4060</v>
      </c>
      <c r="T631" s="2" t="s">
        <v>4061</v>
      </c>
      <c r="U631" t="s">
        <v>4062</v>
      </c>
      <c r="AA631" t="s">
        <v>4063</v>
      </c>
    </row>
    <row r="632" spans="1:27" x14ac:dyDescent="0.25">
      <c r="A632" t="s">
        <v>4064</v>
      </c>
      <c r="B632" t="s">
        <v>4065</v>
      </c>
      <c r="C632" t="s">
        <v>29</v>
      </c>
      <c r="D632" t="s">
        <v>2482</v>
      </c>
      <c r="E632" t="s">
        <v>2623</v>
      </c>
      <c r="F632" t="s">
        <v>3903</v>
      </c>
      <c r="G632" t="s">
        <v>3904</v>
      </c>
      <c r="H632" t="str">
        <f>INDEX([1]妻子表!$A:$A,MATCH(F632,[1]妻子表!$B:$B,0))</f>
        <v>M001211W01</v>
      </c>
      <c r="I632" t="str">
        <f>VLOOKUP(H632,[1]妻子表!$A:$D,4,0)</f>
        <v>王黄英</v>
      </c>
      <c r="J632" t="s">
        <v>359</v>
      </c>
      <c r="K632" t="s">
        <v>2820</v>
      </c>
      <c r="L632" t="s">
        <v>553</v>
      </c>
      <c r="M632" t="s">
        <v>4066</v>
      </c>
      <c r="N632" t="s">
        <v>4067</v>
      </c>
      <c r="O632" t="s">
        <v>4068</v>
      </c>
      <c r="P632" t="s">
        <v>169</v>
      </c>
      <c r="Q632" t="s">
        <v>4069</v>
      </c>
      <c r="R632" t="s">
        <v>4070</v>
      </c>
      <c r="S632" t="s">
        <v>4071</v>
      </c>
      <c r="T632" s="2" t="s">
        <v>4072</v>
      </c>
      <c r="U632" t="s">
        <v>4073</v>
      </c>
      <c r="AA632" t="s">
        <v>4074</v>
      </c>
    </row>
    <row r="633" spans="1:27" x14ac:dyDescent="0.25">
      <c r="A633" t="s">
        <v>4075</v>
      </c>
      <c r="B633" t="s">
        <v>4076</v>
      </c>
      <c r="C633" t="s">
        <v>29</v>
      </c>
      <c r="D633" t="s">
        <v>2482</v>
      </c>
      <c r="E633" t="s">
        <v>2623</v>
      </c>
      <c r="F633" t="s">
        <v>3903</v>
      </c>
      <c r="G633" t="s">
        <v>3904</v>
      </c>
      <c r="H633" t="str">
        <f>INDEX([1]妻子表!$A:$A,MATCH(F633,[1]妻子表!$B:$B,0))</f>
        <v>M001211W01</v>
      </c>
      <c r="I633" t="str">
        <f>VLOOKUP(H633,[1]妻子表!$A:$D,4,0)</f>
        <v>王黄英</v>
      </c>
      <c r="J633" t="s">
        <v>359</v>
      </c>
      <c r="AA633" t="s">
        <v>4077</v>
      </c>
    </row>
    <row r="634" spans="1:27" x14ac:dyDescent="0.25">
      <c r="A634" t="s">
        <v>4078</v>
      </c>
      <c r="B634" t="s">
        <v>4079</v>
      </c>
      <c r="C634" t="s">
        <v>29</v>
      </c>
      <c r="D634" t="s">
        <v>2482</v>
      </c>
      <c r="E634" t="s">
        <v>2623</v>
      </c>
      <c r="F634" t="s">
        <v>3913</v>
      </c>
      <c r="G634" t="s">
        <v>3914</v>
      </c>
      <c r="H634" t="str">
        <f>INDEX([1]妻子表!$A:$A,MATCH(F634,[1]妻子表!$B:$B,0))</f>
        <v>M001212W01</v>
      </c>
      <c r="I634" t="str">
        <f>VLOOKUP(H634,[1]妻子表!$A:$D,4,0)</f>
        <v>肖台英</v>
      </c>
      <c r="J634" t="s">
        <v>359</v>
      </c>
      <c r="K634" t="s">
        <v>2820</v>
      </c>
      <c r="T634" s="2" t="s">
        <v>4080</v>
      </c>
      <c r="U634" t="s">
        <v>4081</v>
      </c>
      <c r="AA634" t="s">
        <v>4082</v>
      </c>
    </row>
    <row r="635" spans="1:27" x14ac:dyDescent="0.25">
      <c r="A635" t="s">
        <v>4083</v>
      </c>
      <c r="B635" t="s">
        <v>4084</v>
      </c>
      <c r="C635" t="s">
        <v>29</v>
      </c>
      <c r="D635" t="s">
        <v>2482</v>
      </c>
      <c r="E635" t="s">
        <v>2623</v>
      </c>
      <c r="F635" t="s">
        <v>3923</v>
      </c>
      <c r="G635" t="s">
        <v>3924</v>
      </c>
      <c r="H635" t="str">
        <f>INDEX([1]妻子表!$A:$A,MATCH(F635,[1]妻子表!$B:$B,0))</f>
        <v>M001214W01</v>
      </c>
      <c r="I635" t="str">
        <f>VLOOKUP(H635,[1]妻子表!$A:$D,4,0)</f>
        <v>刘美珠</v>
      </c>
      <c r="J635" t="s">
        <v>359</v>
      </c>
      <c r="K635" t="s">
        <v>4085</v>
      </c>
      <c r="Q635" t="s">
        <v>4046</v>
      </c>
      <c r="R635" t="s">
        <v>4047</v>
      </c>
      <c r="S635" t="s">
        <v>1616</v>
      </c>
      <c r="T635" s="2" t="s">
        <v>4086</v>
      </c>
      <c r="U635" t="s">
        <v>4087</v>
      </c>
      <c r="AA635" t="s">
        <v>4088</v>
      </c>
    </row>
    <row r="636" spans="1:27" x14ac:dyDescent="0.25">
      <c r="A636" t="s">
        <v>4089</v>
      </c>
      <c r="B636" t="s">
        <v>4090</v>
      </c>
      <c r="C636" t="s">
        <v>29</v>
      </c>
      <c r="D636" t="s">
        <v>2482</v>
      </c>
      <c r="E636" t="s">
        <v>2623</v>
      </c>
      <c r="F636" t="s">
        <v>3933</v>
      </c>
      <c r="G636" t="s">
        <v>3934</v>
      </c>
      <c r="H636" t="str">
        <f>INDEX([1]妻子表!$A:$A,MATCH(F636,[1]妻子表!$B:$B,0))</f>
        <v>M001217W01</v>
      </c>
      <c r="I636" t="str">
        <f>VLOOKUP(H636,[1]妻子表!$A:$D,4,0)</f>
        <v>朱坮妹</v>
      </c>
      <c r="J636" t="s">
        <v>359</v>
      </c>
      <c r="M636" t="s">
        <v>4091</v>
      </c>
      <c r="N636" t="s">
        <v>4005</v>
      </c>
      <c r="O636" t="s">
        <v>4092</v>
      </c>
      <c r="P636" t="s">
        <v>407</v>
      </c>
      <c r="T636" s="2" t="s">
        <v>4093</v>
      </c>
      <c r="U636" t="s">
        <v>4094</v>
      </c>
      <c r="AA636" t="s">
        <v>4095</v>
      </c>
    </row>
    <row r="637" spans="1:27" x14ac:dyDescent="0.25">
      <c r="A637" t="s">
        <v>4096</v>
      </c>
      <c r="B637" t="s">
        <v>4097</v>
      </c>
      <c r="C637" t="s">
        <v>29</v>
      </c>
      <c r="D637" t="s">
        <v>2482</v>
      </c>
      <c r="E637" t="s">
        <v>2623</v>
      </c>
      <c r="F637" t="s">
        <v>3944</v>
      </c>
      <c r="G637" t="s">
        <v>3945</v>
      </c>
      <c r="H637" t="str">
        <f>INDEX([1]妻子表!$A:$A,MATCH(F637,[1]妻子表!$B:$B,0))</f>
        <v>M001218W01</v>
      </c>
      <c r="I637" t="str">
        <f>VLOOKUP(H637,[1]妻子表!$A:$D,4,0)</f>
        <v>刘六珠</v>
      </c>
      <c r="J637" t="s">
        <v>359</v>
      </c>
      <c r="K637" t="s">
        <v>2858</v>
      </c>
      <c r="T637" s="2" t="s">
        <v>4098</v>
      </c>
      <c r="U637" t="s">
        <v>4099</v>
      </c>
      <c r="AA637" t="s">
        <v>4100</v>
      </c>
    </row>
    <row r="638" spans="1:27" x14ac:dyDescent="0.25">
      <c r="A638" t="s">
        <v>4101</v>
      </c>
      <c r="B638" t="s">
        <v>4102</v>
      </c>
      <c r="C638" t="s">
        <v>29</v>
      </c>
      <c r="D638" t="s">
        <v>2482</v>
      </c>
      <c r="E638" t="s">
        <v>2623</v>
      </c>
      <c r="F638" t="s">
        <v>3944</v>
      </c>
      <c r="G638" t="s">
        <v>3945</v>
      </c>
      <c r="H638" t="str">
        <f>INDEX([1]妻子表!$A:$A,MATCH(F638,[1]妻子表!$B:$B,0))</f>
        <v>M001218W01</v>
      </c>
      <c r="I638" t="str">
        <f>VLOOKUP(H638,[1]妻子表!$A:$D,4,0)</f>
        <v>刘六珠</v>
      </c>
      <c r="J638" t="s">
        <v>359</v>
      </c>
      <c r="K638" t="s">
        <v>2820</v>
      </c>
      <c r="L638" t="s">
        <v>2625</v>
      </c>
      <c r="M638" t="s">
        <v>4103</v>
      </c>
      <c r="N638" t="s">
        <v>4104</v>
      </c>
      <c r="O638" t="s">
        <v>4105</v>
      </c>
      <c r="P638" t="s">
        <v>601</v>
      </c>
      <c r="Q638" t="s">
        <v>4106</v>
      </c>
      <c r="R638" t="s">
        <v>4107</v>
      </c>
      <c r="S638" t="s">
        <v>4108</v>
      </c>
      <c r="T638" s="2" t="s">
        <v>4109</v>
      </c>
      <c r="U638" t="s">
        <v>4110</v>
      </c>
      <c r="AA638" t="s">
        <v>4111</v>
      </c>
    </row>
    <row r="639" spans="1:27" x14ac:dyDescent="0.25">
      <c r="A639" t="s">
        <v>4112</v>
      </c>
      <c r="B639" t="s">
        <v>4113</v>
      </c>
      <c r="C639" t="s">
        <v>29</v>
      </c>
      <c r="D639" t="s">
        <v>2482</v>
      </c>
      <c r="E639" t="s">
        <v>2623</v>
      </c>
      <c r="F639" t="s">
        <v>3944</v>
      </c>
      <c r="G639" t="s">
        <v>3945</v>
      </c>
      <c r="H639" t="str">
        <f>INDEX([1]妻子表!$A:$A,MATCH(F639,[1]妻子表!$B:$B,0))</f>
        <v>M001218W01</v>
      </c>
      <c r="I639" t="str">
        <f>VLOOKUP(H639,[1]妻子表!$A:$D,4,0)</f>
        <v>刘六珠</v>
      </c>
      <c r="J639" t="s">
        <v>359</v>
      </c>
      <c r="K639" t="s">
        <v>2820</v>
      </c>
      <c r="L639" t="s">
        <v>311</v>
      </c>
      <c r="M639" t="s">
        <v>4114</v>
      </c>
      <c r="N639" t="s">
        <v>4115</v>
      </c>
      <c r="O639" t="s">
        <v>4116</v>
      </c>
      <c r="P639" t="s">
        <v>224</v>
      </c>
      <c r="Q639" t="s">
        <v>4117</v>
      </c>
      <c r="R639" t="s">
        <v>4118</v>
      </c>
      <c r="S639" t="s">
        <v>4119</v>
      </c>
      <c r="T639" s="2" t="s">
        <v>4120</v>
      </c>
      <c r="U639" t="s">
        <v>4121</v>
      </c>
      <c r="AA639" t="s">
        <v>4122</v>
      </c>
    </row>
    <row r="640" spans="1:27" x14ac:dyDescent="0.25">
      <c r="A640" t="s">
        <v>4123</v>
      </c>
      <c r="B640" t="s">
        <v>4124</v>
      </c>
      <c r="C640" t="s">
        <v>29</v>
      </c>
      <c r="D640" t="s">
        <v>2482</v>
      </c>
      <c r="E640" t="s">
        <v>2623</v>
      </c>
      <c r="F640" t="s">
        <v>3952</v>
      </c>
      <c r="G640" t="s">
        <v>3953</v>
      </c>
      <c r="J640" t="s">
        <v>359</v>
      </c>
      <c r="K640" t="s">
        <v>2820</v>
      </c>
      <c r="L640" t="s">
        <v>1248</v>
      </c>
      <c r="M640" t="s">
        <v>4125</v>
      </c>
      <c r="N640" t="s">
        <v>4126</v>
      </c>
      <c r="O640" t="s">
        <v>4127</v>
      </c>
      <c r="P640" t="s">
        <v>407</v>
      </c>
      <c r="Q640" t="s">
        <v>4128</v>
      </c>
      <c r="R640" t="s">
        <v>2572</v>
      </c>
      <c r="S640" t="s">
        <v>83</v>
      </c>
      <c r="T640" s="2" t="s">
        <v>4129</v>
      </c>
      <c r="U640" t="s">
        <v>4130</v>
      </c>
      <c r="AA640" t="s">
        <v>4131</v>
      </c>
    </row>
    <row r="641" spans="1:27" x14ac:dyDescent="0.25">
      <c r="A641" t="s">
        <v>4132</v>
      </c>
      <c r="B641" t="s">
        <v>4133</v>
      </c>
      <c r="C641" t="s">
        <v>3963</v>
      </c>
      <c r="D641" t="s">
        <v>2482</v>
      </c>
      <c r="E641" t="s">
        <v>2623</v>
      </c>
      <c r="F641" t="s">
        <v>3933</v>
      </c>
      <c r="G641" t="s">
        <v>3934</v>
      </c>
      <c r="H641" t="str">
        <f>INDEX([1]妻子表!$A:$A,MATCH(F641,[1]妻子表!$B:$B,0))</f>
        <v>M001217W01</v>
      </c>
      <c r="I641" t="str">
        <f>VLOOKUP(H641,[1]妻子表!$A:$D,4,0)</f>
        <v>朱坮妹</v>
      </c>
      <c r="J641" t="s">
        <v>359</v>
      </c>
      <c r="K641" t="s">
        <v>4134</v>
      </c>
      <c r="L641" t="s">
        <v>2625</v>
      </c>
      <c r="M641" t="s">
        <v>4135</v>
      </c>
      <c r="N641" t="s">
        <v>4136</v>
      </c>
      <c r="O641" t="s">
        <v>4137</v>
      </c>
      <c r="P641" t="s">
        <v>257</v>
      </c>
      <c r="Q641" t="s">
        <v>4138</v>
      </c>
      <c r="R641" t="s">
        <v>4139</v>
      </c>
      <c r="S641" t="s">
        <v>4140</v>
      </c>
      <c r="V641" s="3" t="str">
        <f>_xlfn.XLOOKUP(A641,[2]女婿表!$D:$D,[2]女婿表!$A:$A)</f>
        <v>M001243S01</v>
      </c>
      <c r="W641" t="str">
        <f>_xlfn.XLOOKUP(V641,[2]女婿表!$A:$A,[2]女婿表!$B:$B,0)</f>
        <v>王锡典</v>
      </c>
      <c r="AA641" t="s">
        <v>4141</v>
      </c>
    </row>
    <row r="642" spans="1:27" x14ac:dyDescent="0.25">
      <c r="A642" t="s">
        <v>4142</v>
      </c>
      <c r="B642" t="s">
        <v>4143</v>
      </c>
      <c r="C642" t="s">
        <v>3963</v>
      </c>
      <c r="D642" t="s">
        <v>2482</v>
      </c>
      <c r="E642" t="s">
        <v>2623</v>
      </c>
      <c r="F642" t="s">
        <v>3872</v>
      </c>
      <c r="G642" t="s">
        <v>3873</v>
      </c>
      <c r="H642" t="str">
        <f>INDEX([1]妻子表!$A:$A,MATCH(F642,[1]妻子表!$B:$B,0))</f>
        <v>M001207W01</v>
      </c>
      <c r="I642" t="str">
        <f>VLOOKUP(H642,[1]妻子表!$A:$D,4,0)</f>
        <v>杨多珠</v>
      </c>
      <c r="J642" t="s">
        <v>359</v>
      </c>
      <c r="M642" t="s">
        <v>4144</v>
      </c>
      <c r="N642" t="s">
        <v>3805</v>
      </c>
      <c r="O642" t="s">
        <v>4145</v>
      </c>
      <c r="P642" t="s">
        <v>169</v>
      </c>
      <c r="V642" s="3" t="str">
        <f>_xlfn.XLOOKUP(A642,[2]女婿表!$D:$D,[2]女婿表!$A:$A)</f>
        <v>M001244S01</v>
      </c>
      <c r="W642" t="str">
        <f>_xlfn.XLOOKUP(V642,[2]女婿表!$A:$A,[2]女婿表!$B:$B,0)</f>
        <v>罗立德</v>
      </c>
      <c r="AA642" t="s">
        <v>4146</v>
      </c>
    </row>
    <row r="643" spans="1:27" x14ac:dyDescent="0.25">
      <c r="A643" t="s">
        <v>4147</v>
      </c>
      <c r="B643" t="s">
        <v>4148</v>
      </c>
      <c r="C643" t="s">
        <v>3963</v>
      </c>
      <c r="D643" t="s">
        <v>2482</v>
      </c>
      <c r="E643" t="s">
        <v>2623</v>
      </c>
      <c r="F643" t="s">
        <v>3867</v>
      </c>
      <c r="G643" t="s">
        <v>3868</v>
      </c>
      <c r="H643" t="str">
        <f>INDEX([1]妻子表!$A:$A,MATCH(F643,[1]妻子表!$B:$B,0))</f>
        <v>M001206W01</v>
      </c>
      <c r="I643" t="str">
        <f>VLOOKUP(H643,[1]妻子表!$A:$D,4,0)</f>
        <v>颜如珠</v>
      </c>
      <c r="J643" t="s">
        <v>359</v>
      </c>
      <c r="V643" s="3" t="str">
        <f>_xlfn.XLOOKUP(A643,[2]女婿表!$D:$D,[2]女婿表!$A:$A)</f>
        <v>M001245S01</v>
      </c>
      <c r="W643" t="str">
        <f>_xlfn.XLOOKUP(V643,[2]女婿表!$A:$A,[2]女婿表!$B:$B,0)</f>
        <v>田峡陂</v>
      </c>
      <c r="AA643" t="s">
        <v>4149</v>
      </c>
    </row>
    <row r="644" spans="1:27" x14ac:dyDescent="0.25">
      <c r="A644" t="s">
        <v>4150</v>
      </c>
      <c r="B644" t="s">
        <v>4151</v>
      </c>
      <c r="C644" t="s">
        <v>3963</v>
      </c>
      <c r="D644" t="s">
        <v>2482</v>
      </c>
      <c r="E644" t="s">
        <v>2623</v>
      </c>
      <c r="F644" t="s">
        <v>3867</v>
      </c>
      <c r="G644" t="s">
        <v>3868</v>
      </c>
      <c r="H644" t="str">
        <f>INDEX([1]妻子表!$A:$A,MATCH(F644,[1]妻子表!$B:$B,0))</f>
        <v>M001206W01</v>
      </c>
      <c r="I644" t="str">
        <f>VLOOKUP(H644,[1]妻子表!$A:$D,4,0)</f>
        <v>颜如珠</v>
      </c>
      <c r="J644" t="s">
        <v>359</v>
      </c>
      <c r="V644" s="3" t="str">
        <f>_xlfn.XLOOKUP(A644,[2]女婿表!$D:$D,[2]女婿表!$A:$A)</f>
        <v>M001246S01</v>
      </c>
      <c r="W644" t="str">
        <f>_xlfn.XLOOKUP(V644,[2]女婿表!$A:$A,[2]女婿表!$B:$B,0)</f>
        <v>朱采凡</v>
      </c>
      <c r="AA644" t="s">
        <v>4152</v>
      </c>
    </row>
    <row r="645" spans="1:27" x14ac:dyDescent="0.25">
      <c r="A645" t="s">
        <v>4153</v>
      </c>
      <c r="B645" t="s">
        <v>4154</v>
      </c>
      <c r="C645" t="s">
        <v>3963</v>
      </c>
      <c r="D645" t="s">
        <v>2482</v>
      </c>
      <c r="E645" t="s">
        <v>2623</v>
      </c>
      <c r="F645" t="s">
        <v>3883</v>
      </c>
      <c r="G645" t="s">
        <v>3884</v>
      </c>
      <c r="H645" t="str">
        <f>INDEX([1]妻子表!$A:$A,MATCH(F645,[1]妻子表!$B:$B,0))</f>
        <v>M001208W01</v>
      </c>
      <c r="I645" t="str">
        <f>VLOOKUP(H645,[1]妻子表!$A:$D,4,0)</f>
        <v>彭意珠</v>
      </c>
      <c r="J645" t="s">
        <v>359</v>
      </c>
      <c r="V645" s="3" t="str">
        <f>_xlfn.XLOOKUP(A645,[2]女婿表!$D:$D,[2]女婿表!$A:$A)</f>
        <v>M001247S01</v>
      </c>
      <c r="W645" t="str">
        <f>_xlfn.XLOOKUP(V645,[2]女婿表!$A:$A,[2]女婿表!$B:$B,0)</f>
        <v>旷水祥</v>
      </c>
      <c r="AA645" t="s">
        <v>4155</v>
      </c>
    </row>
    <row r="646" spans="1:27" x14ac:dyDescent="0.25">
      <c r="A646" t="s">
        <v>4156</v>
      </c>
      <c r="B646" t="s">
        <v>4157</v>
      </c>
      <c r="C646" t="s">
        <v>29</v>
      </c>
      <c r="D646" t="s">
        <v>303</v>
      </c>
      <c r="E646" t="s">
        <v>4158</v>
      </c>
      <c r="F646" t="s">
        <v>267</v>
      </c>
      <c r="G646" t="s">
        <v>268</v>
      </c>
      <c r="H646" t="str">
        <f>INDEX([1]妻子表!$A:$A,MATCH(F646,[1]妻子表!$B:$B,0))</f>
        <v>M000034W01</v>
      </c>
      <c r="I646" t="str">
        <f>VLOOKUP(H646,[1]妻子表!$A:$D,4,0)</f>
        <v>曾氏</v>
      </c>
      <c r="J646" t="s">
        <v>4159</v>
      </c>
      <c r="K646" t="s">
        <v>492</v>
      </c>
      <c r="L646" t="s">
        <v>374</v>
      </c>
      <c r="M646" t="s">
        <v>4160</v>
      </c>
      <c r="N646" t="s">
        <v>4161</v>
      </c>
      <c r="O646" t="s">
        <v>4162</v>
      </c>
      <c r="P646" t="s">
        <v>407</v>
      </c>
      <c r="Q646" t="s">
        <v>4163</v>
      </c>
      <c r="R646" t="s">
        <v>4164</v>
      </c>
      <c r="S646" t="s">
        <v>4165</v>
      </c>
      <c r="T646" s="2" t="s">
        <v>4166</v>
      </c>
      <c r="U646" t="s">
        <v>480</v>
      </c>
      <c r="X646" t="s">
        <v>4167</v>
      </c>
      <c r="AA646" t="s">
        <v>4168</v>
      </c>
    </row>
    <row r="647" spans="1:27" x14ac:dyDescent="0.25">
      <c r="A647" t="s">
        <v>4169</v>
      </c>
      <c r="B647" t="s">
        <v>4170</v>
      </c>
      <c r="C647" t="s">
        <v>29</v>
      </c>
      <c r="D647" t="s">
        <v>341</v>
      </c>
      <c r="E647" t="s">
        <v>4158</v>
      </c>
      <c r="F647" t="s">
        <v>4156</v>
      </c>
      <c r="G647" t="s">
        <v>4157</v>
      </c>
      <c r="H647" t="str">
        <f>INDEX([1]妻子表!$A:$A,MATCH(F647,[1]妻子表!$B:$B,0))</f>
        <v>ZA0001W01</v>
      </c>
      <c r="I647" t="str">
        <f>VLOOKUP(H647,[1]妻子表!$A:$D,4,0)</f>
        <v>左氏</v>
      </c>
      <c r="J647" t="s">
        <v>4159</v>
      </c>
      <c r="K647" t="s">
        <v>492</v>
      </c>
      <c r="L647" t="s">
        <v>467</v>
      </c>
      <c r="M647" t="s">
        <v>4171</v>
      </c>
      <c r="N647" t="s">
        <v>4172</v>
      </c>
      <c r="O647" t="s">
        <v>4173</v>
      </c>
      <c r="P647" t="s">
        <v>240</v>
      </c>
      <c r="Q647" t="s">
        <v>4174</v>
      </c>
      <c r="R647" t="s">
        <v>495</v>
      </c>
      <c r="S647" t="s">
        <v>4175</v>
      </c>
      <c r="T647" s="2" t="s">
        <v>4176</v>
      </c>
      <c r="U647" t="s">
        <v>174</v>
      </c>
      <c r="AA647" t="s">
        <v>4177</v>
      </c>
    </row>
    <row r="648" spans="1:27" x14ac:dyDescent="0.25">
      <c r="A648" t="s">
        <v>4178</v>
      </c>
      <c r="B648" t="s">
        <v>4179</v>
      </c>
      <c r="C648" t="s">
        <v>29</v>
      </c>
      <c r="D648" t="s">
        <v>351</v>
      </c>
      <c r="E648" t="s">
        <v>4158</v>
      </c>
      <c r="F648" t="s">
        <v>4169</v>
      </c>
      <c r="G648" t="s">
        <v>4170</v>
      </c>
      <c r="H648" t="str">
        <f>INDEX([1]妻子表!$A:$A,MATCH(F648,[1]妻子表!$B:$B,0))</f>
        <v>ZA0002W01</v>
      </c>
      <c r="I648" t="str">
        <f>VLOOKUP(H648,[1]妻子表!$A:$D,4,0)</f>
        <v>刘氏</v>
      </c>
      <c r="J648" t="s">
        <v>4159</v>
      </c>
      <c r="K648" t="s">
        <v>492</v>
      </c>
      <c r="M648" t="s">
        <v>4180</v>
      </c>
      <c r="N648" t="s">
        <v>4181</v>
      </c>
      <c r="O648" t="s">
        <v>4182</v>
      </c>
      <c r="P648" t="s">
        <v>407</v>
      </c>
      <c r="T648" s="2" t="s">
        <v>4183</v>
      </c>
      <c r="U648" t="s">
        <v>354</v>
      </c>
      <c r="AA648" t="s">
        <v>4184</v>
      </c>
    </row>
    <row r="649" spans="1:27" x14ac:dyDescent="0.25">
      <c r="A649" t="s">
        <v>4185</v>
      </c>
      <c r="B649" t="s">
        <v>4186</v>
      </c>
      <c r="C649" t="s">
        <v>29</v>
      </c>
      <c r="D649" t="s">
        <v>351</v>
      </c>
      <c r="E649" t="s">
        <v>4158</v>
      </c>
      <c r="F649" t="s">
        <v>4169</v>
      </c>
      <c r="G649" t="s">
        <v>4170</v>
      </c>
      <c r="H649" t="str">
        <f>INDEX([1]妻子表!$A:$A,MATCH(F649,[1]妻子表!$B:$B,0))</f>
        <v>ZA0002W01</v>
      </c>
      <c r="I649" t="str">
        <f>VLOOKUP(H649,[1]妻子表!$A:$D,4,0)</f>
        <v>刘氏</v>
      </c>
      <c r="J649" t="s">
        <v>4159</v>
      </c>
    </row>
    <row r="650" spans="1:27" x14ac:dyDescent="0.25">
      <c r="A650" t="s">
        <v>4187</v>
      </c>
      <c r="B650" t="s">
        <v>4188</v>
      </c>
      <c r="C650" t="s">
        <v>29</v>
      </c>
      <c r="D650" t="s">
        <v>415</v>
      </c>
      <c r="E650" t="s">
        <v>4158</v>
      </c>
      <c r="F650" t="s">
        <v>4178</v>
      </c>
      <c r="G650" t="s">
        <v>4179</v>
      </c>
      <c r="H650" t="str">
        <f>INDEX([1]妻子表!$A:$A,MATCH(F650,[1]妻子表!$B:$B,0))</f>
        <v>ZA0003W01</v>
      </c>
      <c r="I650" t="str">
        <f>VLOOKUP(H650,[1]妻子表!$A:$D,4,0)</f>
        <v>谢氏</v>
      </c>
      <c r="J650" t="s">
        <v>4159</v>
      </c>
      <c r="K650" t="s">
        <v>4189</v>
      </c>
      <c r="L650" t="s">
        <v>1055</v>
      </c>
      <c r="M650" t="s">
        <v>4190</v>
      </c>
      <c r="N650" t="s">
        <v>409</v>
      </c>
      <c r="O650" t="s">
        <v>4191</v>
      </c>
      <c r="P650" t="s">
        <v>200</v>
      </c>
      <c r="Q650" t="s">
        <v>4192</v>
      </c>
      <c r="R650" t="s">
        <v>4193</v>
      </c>
      <c r="S650" t="s">
        <v>4194</v>
      </c>
      <c r="T650" s="2" t="s">
        <v>4195</v>
      </c>
      <c r="U650" t="s">
        <v>3095</v>
      </c>
      <c r="AA650" t="s">
        <v>4196</v>
      </c>
    </row>
    <row r="651" spans="1:27" x14ac:dyDescent="0.25">
      <c r="A651" t="s">
        <v>4197</v>
      </c>
      <c r="B651" t="s">
        <v>4198</v>
      </c>
      <c r="C651" t="s">
        <v>29</v>
      </c>
      <c r="D651" t="s">
        <v>441</v>
      </c>
      <c r="E651" t="s">
        <v>4158</v>
      </c>
      <c r="F651" t="s">
        <v>4187</v>
      </c>
      <c r="G651" t="s">
        <v>4188</v>
      </c>
      <c r="H651" t="str">
        <f>INDEX([1]妻子表!$A:$A,MATCH(F651,[1]妻子表!$B:$B,0))</f>
        <v>ZA0005W01</v>
      </c>
      <c r="I651" t="str">
        <f>VLOOKUP(H651,[1]妻子表!$A:$D,4,0)</f>
        <v>胡氏</v>
      </c>
      <c r="J651" t="s">
        <v>4159</v>
      </c>
      <c r="K651" t="s">
        <v>4189</v>
      </c>
      <c r="L651" t="s">
        <v>553</v>
      </c>
      <c r="M651" t="s">
        <v>4199</v>
      </c>
      <c r="N651" t="s">
        <v>4200</v>
      </c>
      <c r="O651" t="s">
        <v>4201</v>
      </c>
      <c r="P651" t="s">
        <v>497</v>
      </c>
      <c r="Q651" t="s">
        <v>4202</v>
      </c>
      <c r="R651" t="s">
        <v>4203</v>
      </c>
      <c r="S651" t="s">
        <v>4204</v>
      </c>
      <c r="T651" s="2" t="s">
        <v>4205</v>
      </c>
      <c r="U651" t="s">
        <v>174</v>
      </c>
      <c r="AA651" t="s">
        <v>4206</v>
      </c>
    </row>
    <row r="652" spans="1:27" x14ac:dyDescent="0.25">
      <c r="A652" t="s">
        <v>4207</v>
      </c>
      <c r="B652" t="s">
        <v>4208</v>
      </c>
      <c r="C652" t="s">
        <v>29</v>
      </c>
      <c r="D652" t="s">
        <v>441</v>
      </c>
      <c r="E652" t="s">
        <v>4158</v>
      </c>
      <c r="F652" t="s">
        <v>4187</v>
      </c>
      <c r="G652" t="s">
        <v>4188</v>
      </c>
      <c r="H652" t="str">
        <f>INDEX([1]妻子表!$A:$A,MATCH(F652,[1]妻子表!$B:$B,0))</f>
        <v>ZA0005W01</v>
      </c>
      <c r="I652" t="str">
        <f>VLOOKUP(H652,[1]妻子表!$A:$D,4,0)</f>
        <v>胡氏</v>
      </c>
      <c r="J652" t="s">
        <v>4159</v>
      </c>
      <c r="T652" s="2" t="s">
        <v>4209</v>
      </c>
      <c r="U652" t="s">
        <v>744</v>
      </c>
      <c r="AA652" t="s">
        <v>4210</v>
      </c>
    </row>
    <row r="653" spans="1:27" x14ac:dyDescent="0.25">
      <c r="A653" t="s">
        <v>4211</v>
      </c>
      <c r="B653" t="s">
        <v>4212</v>
      </c>
      <c r="C653" t="s">
        <v>29</v>
      </c>
      <c r="D653" t="s">
        <v>441</v>
      </c>
      <c r="E653" t="s">
        <v>4158</v>
      </c>
      <c r="F653" t="s">
        <v>4187</v>
      </c>
      <c r="G653" t="s">
        <v>4188</v>
      </c>
      <c r="H653" t="str">
        <f>INDEX([1]妻子表!$A:$A,MATCH(F653,[1]妻子表!$B:$B,0))</f>
        <v>ZA0005W01</v>
      </c>
      <c r="I653" t="str">
        <f>VLOOKUP(H653,[1]妻子表!$A:$D,4,0)</f>
        <v>胡氏</v>
      </c>
      <c r="J653" t="s">
        <v>4159</v>
      </c>
    </row>
    <row r="654" spans="1:27" x14ac:dyDescent="0.25">
      <c r="A654" t="s">
        <v>4213</v>
      </c>
      <c r="B654" t="s">
        <v>4214</v>
      </c>
      <c r="C654" t="s">
        <v>29</v>
      </c>
      <c r="D654" t="s">
        <v>441</v>
      </c>
      <c r="E654" t="s">
        <v>4158</v>
      </c>
      <c r="F654" t="s">
        <v>4187</v>
      </c>
      <c r="G654" t="s">
        <v>4188</v>
      </c>
      <c r="H654" t="str">
        <f>INDEX([1]妻子表!$A:$A,MATCH(F654,[1]妻子表!$B:$B,0))</f>
        <v>ZA0005W01</v>
      </c>
      <c r="I654" t="str">
        <f>VLOOKUP(H654,[1]妻子表!$A:$D,4,0)</f>
        <v>胡氏</v>
      </c>
      <c r="J654" t="s">
        <v>4159</v>
      </c>
    </row>
    <row r="655" spans="1:27" x14ac:dyDescent="0.25">
      <c r="A655" t="s">
        <v>4215</v>
      </c>
      <c r="B655" t="s">
        <v>4216</v>
      </c>
      <c r="C655" t="s">
        <v>29</v>
      </c>
      <c r="D655" t="s">
        <v>441</v>
      </c>
      <c r="E655" t="s">
        <v>4158</v>
      </c>
      <c r="F655" t="s">
        <v>4187</v>
      </c>
      <c r="G655" t="s">
        <v>4188</v>
      </c>
      <c r="H655" t="str">
        <f>INDEX([1]妻子表!$A:$A,MATCH(F655,[1]妻子表!$B:$B,0))</f>
        <v>ZA0005W01</v>
      </c>
      <c r="I655" t="str">
        <f>VLOOKUP(H655,[1]妻子表!$A:$D,4,0)</f>
        <v>胡氏</v>
      </c>
      <c r="J655" t="s">
        <v>4159</v>
      </c>
      <c r="K655" t="s">
        <v>4217</v>
      </c>
      <c r="L655" t="s">
        <v>518</v>
      </c>
      <c r="M655" t="s">
        <v>4218</v>
      </c>
      <c r="N655" t="s">
        <v>4219</v>
      </c>
      <c r="O655" t="s">
        <v>4220</v>
      </c>
      <c r="P655" t="s">
        <v>458</v>
      </c>
      <c r="Q655" t="s">
        <v>4221</v>
      </c>
      <c r="R655" t="s">
        <v>4222</v>
      </c>
      <c r="S655" t="s">
        <v>4223</v>
      </c>
      <c r="T655" s="2" t="s">
        <v>4224</v>
      </c>
      <c r="U655" t="s">
        <v>174</v>
      </c>
      <c r="AA655" t="s">
        <v>4225</v>
      </c>
    </row>
    <row r="656" spans="1:27" x14ac:dyDescent="0.25">
      <c r="A656" t="s">
        <v>4226</v>
      </c>
      <c r="B656" t="s">
        <v>4227</v>
      </c>
      <c r="C656" t="s">
        <v>29</v>
      </c>
      <c r="D656" t="s">
        <v>478</v>
      </c>
      <c r="E656" t="s">
        <v>4158</v>
      </c>
      <c r="F656" t="s">
        <v>4197</v>
      </c>
      <c r="G656" t="s">
        <v>4198</v>
      </c>
      <c r="H656" t="str">
        <f>INDEX([1]妻子表!$A:$A,MATCH(F656,[1]妻子表!$B:$B,0))</f>
        <v>ZA0006W01</v>
      </c>
      <c r="I656" t="str">
        <f>VLOOKUP(H656,[1]妻子表!$A:$D,4,0)</f>
        <v>刘氏</v>
      </c>
      <c r="J656" t="s">
        <v>4159</v>
      </c>
      <c r="K656" t="s">
        <v>4189</v>
      </c>
      <c r="L656" t="s">
        <v>467</v>
      </c>
      <c r="M656" t="s">
        <v>4228</v>
      </c>
      <c r="N656" t="s">
        <v>4229</v>
      </c>
      <c r="O656" t="s">
        <v>4230</v>
      </c>
      <c r="P656" t="s">
        <v>315</v>
      </c>
      <c r="Q656" t="s">
        <v>4231</v>
      </c>
      <c r="R656" t="s">
        <v>644</v>
      </c>
      <c r="S656" t="s">
        <v>4232</v>
      </c>
      <c r="T656" s="2" t="s">
        <v>4233</v>
      </c>
      <c r="U656" t="s">
        <v>4234</v>
      </c>
      <c r="AA656" t="s">
        <v>4235</v>
      </c>
    </row>
    <row r="657" spans="1:27" x14ac:dyDescent="0.25">
      <c r="A657" t="s">
        <v>4236</v>
      </c>
      <c r="B657" t="s">
        <v>4237</v>
      </c>
      <c r="C657" t="s">
        <v>29</v>
      </c>
      <c r="D657" t="s">
        <v>478</v>
      </c>
      <c r="E657" t="s">
        <v>4158</v>
      </c>
      <c r="F657" t="s">
        <v>4207</v>
      </c>
      <c r="G657" t="s">
        <v>4208</v>
      </c>
      <c r="H657" t="str">
        <f>INDEX([1]妻子表!$A:$A,MATCH(F657,[1]妻子表!$B:$B,0))</f>
        <v>ZA0007W01</v>
      </c>
      <c r="I657" t="str">
        <f>VLOOKUP(H657,[1]妻子表!$A:$D,4,0)</f>
        <v>唐氏</v>
      </c>
      <c r="J657" t="s">
        <v>4159</v>
      </c>
    </row>
    <row r="658" spans="1:27" x14ac:dyDescent="0.25">
      <c r="A658" t="s">
        <v>4238</v>
      </c>
      <c r="B658" t="s">
        <v>4239</v>
      </c>
      <c r="C658" t="s">
        <v>29</v>
      </c>
      <c r="D658" t="s">
        <v>478</v>
      </c>
      <c r="E658" t="s">
        <v>4158</v>
      </c>
      <c r="F658" t="s">
        <v>4207</v>
      </c>
      <c r="G658" t="s">
        <v>4208</v>
      </c>
      <c r="H658" t="str">
        <f>INDEX([1]妻子表!$A:$A,MATCH(F658,[1]妻子表!$B:$B,0))</f>
        <v>ZA0007W01</v>
      </c>
      <c r="I658" t="str">
        <f>VLOOKUP(H658,[1]妻子表!$A:$D,4,0)</f>
        <v>唐氏</v>
      </c>
      <c r="J658" t="s">
        <v>4159</v>
      </c>
    </row>
    <row r="659" spans="1:27" x14ac:dyDescent="0.25">
      <c r="A659" t="s">
        <v>4240</v>
      </c>
      <c r="B659" t="s">
        <v>4241</v>
      </c>
      <c r="C659" t="s">
        <v>29</v>
      </c>
      <c r="D659" t="s">
        <v>478</v>
      </c>
      <c r="E659" t="s">
        <v>4158</v>
      </c>
      <c r="F659" t="s">
        <v>4207</v>
      </c>
      <c r="G659" t="s">
        <v>4208</v>
      </c>
      <c r="H659" t="str">
        <f>INDEX([1]妻子表!$A:$A,MATCH(F659,[1]妻子表!$B:$B,0))</f>
        <v>ZA0007W01</v>
      </c>
      <c r="I659" t="str">
        <f>VLOOKUP(H659,[1]妻子表!$A:$D,4,0)</f>
        <v>唐氏</v>
      </c>
      <c r="J659" t="s">
        <v>4159</v>
      </c>
    </row>
    <row r="660" spans="1:27" x14ac:dyDescent="0.25">
      <c r="A660" t="s">
        <v>4242</v>
      </c>
      <c r="B660" t="s">
        <v>4243</v>
      </c>
      <c r="C660" t="s">
        <v>29</v>
      </c>
      <c r="D660" t="s">
        <v>478</v>
      </c>
      <c r="E660" t="s">
        <v>4158</v>
      </c>
      <c r="F660" t="s">
        <v>4215</v>
      </c>
      <c r="G660" t="s">
        <v>4216</v>
      </c>
      <c r="H660" t="str">
        <f>INDEX([1]妻子表!$A:$A,MATCH(F660,[1]妻子表!$B:$B,0))</f>
        <v>ZA0010W01</v>
      </c>
      <c r="I660" t="str">
        <f>VLOOKUP(H660,[1]妻子表!$A:$D,4,0)</f>
        <v>刘氏</v>
      </c>
      <c r="J660" t="s">
        <v>4159</v>
      </c>
    </row>
    <row r="661" spans="1:27" x14ac:dyDescent="0.25">
      <c r="A661" t="s">
        <v>4244</v>
      </c>
      <c r="B661" t="s">
        <v>4245</v>
      </c>
      <c r="C661" t="s">
        <v>29</v>
      </c>
      <c r="D661" t="s">
        <v>478</v>
      </c>
      <c r="E661" t="s">
        <v>4158</v>
      </c>
      <c r="F661" t="s">
        <v>4215</v>
      </c>
      <c r="G661" t="s">
        <v>4216</v>
      </c>
      <c r="H661" t="str">
        <f>INDEX([1]妻子表!$A:$A,MATCH(F661,[1]妻子表!$B:$B,0))</f>
        <v>ZA0010W01</v>
      </c>
      <c r="I661" t="str">
        <f>VLOOKUP(H661,[1]妻子表!$A:$D,4,0)</f>
        <v>刘氏</v>
      </c>
      <c r="J661" t="s">
        <v>4159</v>
      </c>
      <c r="K661" t="s">
        <v>4246</v>
      </c>
      <c r="L661" t="s">
        <v>4247</v>
      </c>
      <c r="M661" t="s">
        <v>4248</v>
      </c>
      <c r="N661" t="s">
        <v>4249</v>
      </c>
      <c r="O661" t="s">
        <v>4250</v>
      </c>
      <c r="P661" t="s">
        <v>497</v>
      </c>
      <c r="Q661" t="s">
        <v>4251</v>
      </c>
      <c r="R661" t="s">
        <v>4252</v>
      </c>
      <c r="S661" t="s">
        <v>4253</v>
      </c>
      <c r="T661" s="2" t="s">
        <v>4254</v>
      </c>
      <c r="U661" t="s">
        <v>95</v>
      </c>
      <c r="AA661" t="s">
        <v>4255</v>
      </c>
    </row>
    <row r="662" spans="1:27" x14ac:dyDescent="0.25">
      <c r="A662" t="s">
        <v>4256</v>
      </c>
      <c r="B662" t="s">
        <v>4257</v>
      </c>
      <c r="C662" t="s">
        <v>29</v>
      </c>
      <c r="D662" t="s">
        <v>478</v>
      </c>
      <c r="E662" t="s">
        <v>4158</v>
      </c>
      <c r="F662" t="s">
        <v>4215</v>
      </c>
      <c r="G662" t="s">
        <v>4216</v>
      </c>
      <c r="H662" t="str">
        <f>INDEX([1]妻子表!$A:$A,MATCH(F662,[1]妻子表!$B:$B,0))</f>
        <v>ZA0010W01</v>
      </c>
      <c r="I662" t="str">
        <f>VLOOKUP(H662,[1]妻子表!$A:$D,4,0)</f>
        <v>刘氏</v>
      </c>
      <c r="J662" t="s">
        <v>4159</v>
      </c>
      <c r="T662" s="2" t="s">
        <v>4258</v>
      </c>
      <c r="U662" t="s">
        <v>942</v>
      </c>
      <c r="AA662" t="s">
        <v>4259</v>
      </c>
    </row>
    <row r="663" spans="1:27" x14ac:dyDescent="0.25">
      <c r="A663" t="s">
        <v>4260</v>
      </c>
      <c r="B663" t="s">
        <v>4261</v>
      </c>
      <c r="C663" t="s">
        <v>29</v>
      </c>
      <c r="D663" t="s">
        <v>478</v>
      </c>
      <c r="E663" t="s">
        <v>4158</v>
      </c>
      <c r="F663" t="s">
        <v>4215</v>
      </c>
      <c r="G663" t="s">
        <v>4216</v>
      </c>
      <c r="H663" t="str">
        <f>INDEX([1]妻子表!$A:$A,MATCH(F663,[1]妻子表!$B:$B,0))</f>
        <v>ZA0010W01</v>
      </c>
      <c r="I663" t="str">
        <f>VLOOKUP(H663,[1]妻子表!$A:$D,4,0)</f>
        <v>刘氏</v>
      </c>
      <c r="J663" t="s">
        <v>4159</v>
      </c>
      <c r="T663" s="2" t="s">
        <v>4262</v>
      </c>
      <c r="U663" t="s">
        <v>3095</v>
      </c>
      <c r="AA663" t="s">
        <v>4263</v>
      </c>
    </row>
    <row r="664" spans="1:27" x14ac:dyDescent="0.25">
      <c r="A664" t="s">
        <v>4264</v>
      </c>
      <c r="B664" t="s">
        <v>4265</v>
      </c>
      <c r="C664" t="s">
        <v>29</v>
      </c>
      <c r="D664" t="s">
        <v>478</v>
      </c>
      <c r="E664" t="s">
        <v>4158</v>
      </c>
      <c r="F664" t="s">
        <v>4215</v>
      </c>
      <c r="G664" t="s">
        <v>4216</v>
      </c>
      <c r="H664" t="str">
        <f>INDEX([1]妻子表!$A:$A,MATCH(F664,[1]妻子表!$B:$B,0))</f>
        <v>ZA0010W01</v>
      </c>
      <c r="I664" t="str">
        <f>VLOOKUP(H664,[1]妻子表!$A:$D,4,0)</f>
        <v>刘氏</v>
      </c>
      <c r="J664" t="s">
        <v>4159</v>
      </c>
    </row>
    <row r="665" spans="1:27" x14ac:dyDescent="0.25">
      <c r="A665" t="s">
        <v>4266</v>
      </c>
      <c r="B665" t="s">
        <v>4267</v>
      </c>
      <c r="C665" t="s">
        <v>29</v>
      </c>
      <c r="D665" t="s">
        <v>533</v>
      </c>
      <c r="E665" t="s">
        <v>4158</v>
      </c>
      <c r="F665" t="s">
        <v>4226</v>
      </c>
      <c r="G665" t="s">
        <v>4227</v>
      </c>
      <c r="H665" t="str">
        <f>INDEX([1]妻子表!$A:$A,MATCH(F665,[1]妻子表!$B:$B,0))</f>
        <v>ZA0011W01</v>
      </c>
      <c r="I665" t="str">
        <f>VLOOKUP(H665,[1]妻子表!$A:$D,4,0)</f>
        <v>戴氏</v>
      </c>
      <c r="J665" t="s">
        <v>4159</v>
      </c>
      <c r="K665" t="s">
        <v>4189</v>
      </c>
      <c r="L665" t="s">
        <v>3153</v>
      </c>
      <c r="M665" t="s">
        <v>4268</v>
      </c>
      <c r="N665" t="s">
        <v>4269</v>
      </c>
      <c r="O665" t="s">
        <v>4270</v>
      </c>
      <c r="P665" t="s">
        <v>240</v>
      </c>
      <c r="Q665" t="s">
        <v>4271</v>
      </c>
      <c r="R665" t="s">
        <v>4272</v>
      </c>
      <c r="S665" t="s">
        <v>4273</v>
      </c>
      <c r="T665" s="2" t="s">
        <v>4274</v>
      </c>
      <c r="U665" t="s">
        <v>882</v>
      </c>
      <c r="AA665" t="s">
        <v>4275</v>
      </c>
    </row>
    <row r="666" spans="1:27" x14ac:dyDescent="0.25">
      <c r="A666" t="s">
        <v>4276</v>
      </c>
      <c r="B666" t="s">
        <v>4277</v>
      </c>
      <c r="C666" t="s">
        <v>29</v>
      </c>
      <c r="D666" t="s">
        <v>533</v>
      </c>
      <c r="E666" t="s">
        <v>4158</v>
      </c>
      <c r="F666" t="s">
        <v>4226</v>
      </c>
      <c r="G666" t="s">
        <v>4227</v>
      </c>
      <c r="H666" t="str">
        <f>INDEX([1]妻子表!$A:$A,MATCH(F666,[1]妻子表!$B:$B,0))</f>
        <v>ZA0011W01</v>
      </c>
      <c r="I666" t="str">
        <f>VLOOKUP(H666,[1]妻子表!$A:$D,4,0)</f>
        <v>戴氏</v>
      </c>
      <c r="J666" t="s">
        <v>4159</v>
      </c>
      <c r="L666" t="s">
        <v>1055</v>
      </c>
      <c r="M666" t="s">
        <v>4278</v>
      </c>
      <c r="N666" t="s">
        <v>4279</v>
      </c>
      <c r="O666" t="s">
        <v>4280</v>
      </c>
      <c r="P666" t="s">
        <v>458</v>
      </c>
      <c r="Q666" t="s">
        <v>4281</v>
      </c>
      <c r="R666" t="s">
        <v>4282</v>
      </c>
      <c r="S666" t="s">
        <v>107</v>
      </c>
      <c r="T666" s="2" t="s">
        <v>4283</v>
      </c>
      <c r="U666" t="s">
        <v>4234</v>
      </c>
      <c r="AA666" t="s">
        <v>4284</v>
      </c>
    </row>
    <row r="667" spans="1:27" x14ac:dyDescent="0.25">
      <c r="A667" t="s">
        <v>4285</v>
      </c>
      <c r="B667" t="s">
        <v>4286</v>
      </c>
      <c r="C667" t="s">
        <v>29</v>
      </c>
      <c r="D667" t="s">
        <v>533</v>
      </c>
      <c r="E667" t="s">
        <v>4158</v>
      </c>
      <c r="F667" t="s">
        <v>4226</v>
      </c>
      <c r="G667" t="s">
        <v>4227</v>
      </c>
      <c r="H667" t="str">
        <f>INDEX([1]妻子表!$A:$A,MATCH(F667,[1]妻子表!$B:$B,0))</f>
        <v>ZA0011W01</v>
      </c>
      <c r="I667" t="str">
        <f>VLOOKUP(H667,[1]妻子表!$A:$D,4,0)</f>
        <v>戴氏</v>
      </c>
      <c r="J667" t="s">
        <v>4159</v>
      </c>
      <c r="K667" t="s">
        <v>492</v>
      </c>
      <c r="L667" t="s">
        <v>180</v>
      </c>
      <c r="M667" t="s">
        <v>4287</v>
      </c>
      <c r="N667" t="s">
        <v>4288</v>
      </c>
      <c r="O667" t="s">
        <v>4289</v>
      </c>
      <c r="P667" t="s">
        <v>315</v>
      </c>
      <c r="Q667" t="s">
        <v>4290</v>
      </c>
      <c r="R667" t="s">
        <v>767</v>
      </c>
      <c r="S667" t="s">
        <v>4291</v>
      </c>
      <c r="T667" s="2" t="s">
        <v>4292</v>
      </c>
      <c r="U667" t="s">
        <v>4234</v>
      </c>
      <c r="AA667" t="s">
        <v>4293</v>
      </c>
    </row>
    <row r="668" spans="1:27" x14ac:dyDescent="0.25">
      <c r="A668" t="s">
        <v>4294</v>
      </c>
      <c r="B668" t="s">
        <v>4295</v>
      </c>
      <c r="C668" t="s">
        <v>29</v>
      </c>
      <c r="D668" t="s">
        <v>533</v>
      </c>
      <c r="E668" t="s">
        <v>4158</v>
      </c>
      <c r="F668" t="s">
        <v>4226</v>
      </c>
      <c r="G668" t="s">
        <v>4227</v>
      </c>
      <c r="H668" t="str">
        <f>INDEX([1]妻子表!$A:$A,MATCH(F668,[1]妻子表!$B:$B,0))</f>
        <v>ZA0011W01</v>
      </c>
      <c r="I668" t="str">
        <f>VLOOKUP(H668,[1]妻子表!$A:$D,4,0)</f>
        <v>戴氏</v>
      </c>
      <c r="J668" t="s">
        <v>4159</v>
      </c>
      <c r="K668" t="s">
        <v>492</v>
      </c>
      <c r="L668" t="s">
        <v>236</v>
      </c>
      <c r="M668" t="s">
        <v>4296</v>
      </c>
      <c r="N668" t="s">
        <v>4297</v>
      </c>
      <c r="O668" t="s">
        <v>4298</v>
      </c>
      <c r="P668" t="s">
        <v>601</v>
      </c>
      <c r="Q668" t="s">
        <v>4299</v>
      </c>
      <c r="R668" t="s">
        <v>959</v>
      </c>
      <c r="S668" t="s">
        <v>4300</v>
      </c>
      <c r="T668" s="2" t="s">
        <v>4301</v>
      </c>
      <c r="U668" t="s">
        <v>174</v>
      </c>
      <c r="AA668" t="s">
        <v>4302</v>
      </c>
    </row>
    <row r="669" spans="1:27" x14ac:dyDescent="0.25">
      <c r="A669" t="s">
        <v>4303</v>
      </c>
      <c r="B669" t="s">
        <v>4304</v>
      </c>
      <c r="C669" t="s">
        <v>29</v>
      </c>
      <c r="D669" t="s">
        <v>533</v>
      </c>
      <c r="E669" t="s">
        <v>4158</v>
      </c>
      <c r="F669" t="s">
        <v>4226</v>
      </c>
      <c r="G669" t="s">
        <v>4227</v>
      </c>
      <c r="H669" t="str">
        <f>INDEX([1]妻子表!$A:$A,MATCH(F669,[1]妻子表!$B:$B,0))</f>
        <v>ZA0011W01</v>
      </c>
      <c r="I669" t="str">
        <f>VLOOKUP(H669,[1]妻子表!$A:$D,4,0)</f>
        <v>戴氏</v>
      </c>
      <c r="J669" t="s">
        <v>4159</v>
      </c>
      <c r="K669" t="s">
        <v>492</v>
      </c>
      <c r="L669" t="s">
        <v>165</v>
      </c>
      <c r="M669" t="s">
        <v>4305</v>
      </c>
      <c r="N669" t="s">
        <v>555</v>
      </c>
      <c r="O669" t="s">
        <v>4306</v>
      </c>
      <c r="P669" t="s">
        <v>184</v>
      </c>
      <c r="Q669" t="s">
        <v>4307</v>
      </c>
      <c r="R669" t="s">
        <v>4308</v>
      </c>
      <c r="S669" t="s">
        <v>4309</v>
      </c>
      <c r="T669" s="2" t="s">
        <v>4310</v>
      </c>
      <c r="U669" t="s">
        <v>174</v>
      </c>
      <c r="AA669" t="s">
        <v>4311</v>
      </c>
    </row>
    <row r="670" spans="1:27" x14ac:dyDescent="0.25">
      <c r="A670" t="s">
        <v>4312</v>
      </c>
      <c r="B670" t="s">
        <v>4313</v>
      </c>
      <c r="C670" t="s">
        <v>29</v>
      </c>
      <c r="D670" t="s">
        <v>533</v>
      </c>
      <c r="E670" t="s">
        <v>4158</v>
      </c>
      <c r="F670" t="s">
        <v>4244</v>
      </c>
      <c r="G670" t="s">
        <v>4245</v>
      </c>
      <c r="H670" t="str">
        <f>INDEX([1]妻子表!$A:$A,MATCH(F670,[1]妻子表!$B:$B,0))</f>
        <v>ZA0016W01</v>
      </c>
      <c r="I670" t="str">
        <f>VLOOKUP(H670,[1]妻子表!$A:$D,4,0)</f>
        <v>彭氏</v>
      </c>
      <c r="J670" t="s">
        <v>4159</v>
      </c>
      <c r="K670" t="s">
        <v>4189</v>
      </c>
      <c r="L670" t="s">
        <v>957</v>
      </c>
      <c r="M670" t="s">
        <v>4314</v>
      </c>
      <c r="N670" t="s">
        <v>4315</v>
      </c>
      <c r="O670" t="s">
        <v>4316</v>
      </c>
      <c r="P670" t="s">
        <v>407</v>
      </c>
      <c r="Q670" t="s">
        <v>4317</v>
      </c>
      <c r="R670" t="s">
        <v>1263</v>
      </c>
      <c r="S670" t="s">
        <v>4318</v>
      </c>
      <c r="T670" s="2" t="s">
        <v>4319</v>
      </c>
      <c r="U670" t="s">
        <v>4320</v>
      </c>
      <c r="AA670" t="s">
        <v>4321</v>
      </c>
    </row>
    <row r="671" spans="1:27" x14ac:dyDescent="0.25">
      <c r="A671" t="s">
        <v>4322</v>
      </c>
      <c r="B671" t="s">
        <v>4323</v>
      </c>
      <c r="C671" t="s">
        <v>29</v>
      </c>
      <c r="D671" t="s">
        <v>533</v>
      </c>
      <c r="E671" t="s">
        <v>4158</v>
      </c>
      <c r="F671" t="s">
        <v>4244</v>
      </c>
      <c r="G671" t="s">
        <v>4245</v>
      </c>
      <c r="H671" t="str">
        <f>INDEX([1]妻子表!$A:$A,MATCH(F671,[1]妻子表!$B:$B,0))</f>
        <v>ZA0016W01</v>
      </c>
      <c r="I671" t="str">
        <f>VLOOKUP(H671,[1]妻子表!$A:$D,4,0)</f>
        <v>彭氏</v>
      </c>
      <c r="J671" t="s">
        <v>4159</v>
      </c>
    </row>
    <row r="672" spans="1:27" x14ac:dyDescent="0.25">
      <c r="A672" t="s">
        <v>4324</v>
      </c>
      <c r="B672" t="s">
        <v>4325</v>
      </c>
      <c r="C672" t="s">
        <v>29</v>
      </c>
      <c r="D672" t="s">
        <v>533</v>
      </c>
      <c r="E672" t="s">
        <v>4158</v>
      </c>
      <c r="F672" t="s">
        <v>4256</v>
      </c>
      <c r="G672" t="s">
        <v>4257</v>
      </c>
      <c r="H672" t="str">
        <f>INDEX([1]妻子表!$A:$A,MATCH(F672,[1]妻子表!$B:$B,0))</f>
        <v>ZA0017W01</v>
      </c>
      <c r="I672" t="str">
        <f>VLOOKUP(H672,[1]妻子表!$A:$D,4,0)</f>
        <v>杨氏</v>
      </c>
      <c r="J672" t="s">
        <v>4159</v>
      </c>
    </row>
    <row r="673" spans="1:27" x14ac:dyDescent="0.25">
      <c r="A673" t="s">
        <v>4326</v>
      </c>
      <c r="B673" t="s">
        <v>4327</v>
      </c>
      <c r="C673" t="s">
        <v>29</v>
      </c>
      <c r="D673" t="s">
        <v>533</v>
      </c>
      <c r="E673" t="s">
        <v>4158</v>
      </c>
      <c r="F673" t="s">
        <v>4256</v>
      </c>
      <c r="G673" t="s">
        <v>4257</v>
      </c>
      <c r="H673" t="str">
        <f>INDEX([1]妻子表!$A:$A,MATCH(F673,[1]妻子表!$B:$B,0))</f>
        <v>ZA0017W01</v>
      </c>
      <c r="I673" t="str">
        <f>VLOOKUP(H673,[1]妻子表!$A:$D,4,0)</f>
        <v>杨氏</v>
      </c>
      <c r="J673" t="s">
        <v>4159</v>
      </c>
      <c r="T673" s="2" t="s">
        <v>4328</v>
      </c>
      <c r="U673" t="s">
        <v>4329</v>
      </c>
      <c r="AA673" t="s">
        <v>4330</v>
      </c>
    </row>
    <row r="674" spans="1:27" x14ac:dyDescent="0.25">
      <c r="A674" t="s">
        <v>4331</v>
      </c>
      <c r="B674" t="s">
        <v>4332</v>
      </c>
      <c r="C674" t="s">
        <v>29</v>
      </c>
      <c r="D674" t="s">
        <v>614</v>
      </c>
      <c r="E674" t="s">
        <v>4158</v>
      </c>
      <c r="F674" t="s">
        <v>4266</v>
      </c>
      <c r="G674" t="s">
        <v>4267</v>
      </c>
      <c r="H674" t="str">
        <f>INDEX([1]妻子表!$A:$A,MATCH(F674,[1]妻子表!$B:$B,0))</f>
        <v>ZA0020W01</v>
      </c>
      <c r="I674" t="str">
        <f>VLOOKUP(H674,[1]妻子表!$A:$D,4,0)</f>
        <v>肖氏</v>
      </c>
      <c r="J674" t="s">
        <v>4159</v>
      </c>
      <c r="K674" t="s">
        <v>492</v>
      </c>
      <c r="L674" t="s">
        <v>392</v>
      </c>
      <c r="M674" t="s">
        <v>4333</v>
      </c>
      <c r="N674" t="s">
        <v>4222</v>
      </c>
      <c r="O674" t="s">
        <v>1679</v>
      </c>
      <c r="P674" t="s">
        <v>315</v>
      </c>
      <c r="Q674" t="s">
        <v>4334</v>
      </c>
      <c r="R674" t="s">
        <v>959</v>
      </c>
      <c r="S674" t="s">
        <v>4335</v>
      </c>
      <c r="T674" s="2" t="s">
        <v>4336</v>
      </c>
      <c r="U674" t="s">
        <v>4234</v>
      </c>
      <c r="AA674" t="s">
        <v>4337</v>
      </c>
    </row>
    <row r="675" spans="1:27" x14ac:dyDescent="0.25">
      <c r="A675" t="s">
        <v>4338</v>
      </c>
      <c r="B675" t="s">
        <v>4339</v>
      </c>
      <c r="C675" t="s">
        <v>29</v>
      </c>
      <c r="D675" t="s">
        <v>614</v>
      </c>
      <c r="E675" t="s">
        <v>4158</v>
      </c>
      <c r="F675" t="s">
        <v>4266</v>
      </c>
      <c r="G675" t="s">
        <v>4267</v>
      </c>
      <c r="H675" t="str">
        <f>INDEX([1]妻子表!$A:$A,MATCH(F675,[1]妻子表!$B:$B,0))</f>
        <v>ZA0020W01</v>
      </c>
      <c r="I675" t="str">
        <f>VLOOKUP(H675,[1]妻子表!$A:$D,4,0)</f>
        <v>肖氏</v>
      </c>
      <c r="J675" t="s">
        <v>4159</v>
      </c>
      <c r="AA675" t="s">
        <v>4340</v>
      </c>
    </row>
    <row r="676" spans="1:27" x14ac:dyDescent="0.25">
      <c r="A676" t="s">
        <v>4341</v>
      </c>
      <c r="B676" t="s">
        <v>4342</v>
      </c>
      <c r="C676" t="s">
        <v>29</v>
      </c>
      <c r="D676" t="s">
        <v>614</v>
      </c>
      <c r="E676" t="s">
        <v>4158</v>
      </c>
      <c r="F676" t="s">
        <v>4266</v>
      </c>
      <c r="G676" t="s">
        <v>4267</v>
      </c>
      <c r="H676" t="str">
        <f>INDEX([1]妻子表!$A:$A,MATCH(F676,[1]妻子表!$B:$B,0))</f>
        <v>ZA0020W01</v>
      </c>
      <c r="I676" t="str">
        <f>VLOOKUP(H676,[1]妻子表!$A:$D,4,0)</f>
        <v>肖氏</v>
      </c>
      <c r="J676" t="s">
        <v>4159</v>
      </c>
      <c r="K676" t="s">
        <v>492</v>
      </c>
      <c r="L676" t="s">
        <v>2338</v>
      </c>
      <c r="M676" t="s">
        <v>4343</v>
      </c>
      <c r="N676" t="s">
        <v>644</v>
      </c>
      <c r="O676" t="s">
        <v>3632</v>
      </c>
      <c r="P676" t="s">
        <v>458</v>
      </c>
      <c r="Q676" t="s">
        <v>4344</v>
      </c>
      <c r="R676" t="s">
        <v>4345</v>
      </c>
      <c r="S676" t="s">
        <v>83</v>
      </c>
      <c r="T676" s="2" t="s">
        <v>4346</v>
      </c>
      <c r="U676" t="s">
        <v>174</v>
      </c>
      <c r="AA676" t="s">
        <v>4347</v>
      </c>
    </row>
    <row r="677" spans="1:27" x14ac:dyDescent="0.25">
      <c r="A677" t="s">
        <v>4348</v>
      </c>
      <c r="B677" t="s">
        <v>4349</v>
      </c>
      <c r="C677" t="s">
        <v>29</v>
      </c>
      <c r="D677" t="s">
        <v>614</v>
      </c>
      <c r="E677" t="s">
        <v>4158</v>
      </c>
      <c r="F677" t="s">
        <v>4276</v>
      </c>
      <c r="G677" t="s">
        <v>4277</v>
      </c>
      <c r="H677" t="str">
        <f>INDEX([1]妻子表!$A:$A,MATCH(F677,[1]妻子表!$B:$B,0))</f>
        <v>ZA0021W01</v>
      </c>
      <c r="I677" t="str">
        <f>VLOOKUP(H677,[1]妻子表!$A:$D,4,0)</f>
        <v>戴氏</v>
      </c>
      <c r="J677" t="s">
        <v>4159</v>
      </c>
      <c r="K677" t="s">
        <v>4350</v>
      </c>
      <c r="T677" s="2" t="s">
        <v>4351</v>
      </c>
      <c r="U677" t="s">
        <v>138</v>
      </c>
      <c r="AA677" t="s">
        <v>4352</v>
      </c>
    </row>
    <row r="678" spans="1:27" x14ac:dyDescent="0.25">
      <c r="A678" t="s">
        <v>4353</v>
      </c>
      <c r="B678" t="s">
        <v>4354</v>
      </c>
      <c r="C678" t="s">
        <v>29</v>
      </c>
      <c r="D678" t="s">
        <v>614</v>
      </c>
      <c r="E678" t="s">
        <v>4158</v>
      </c>
      <c r="F678" t="s">
        <v>4285</v>
      </c>
      <c r="G678" t="s">
        <v>4286</v>
      </c>
      <c r="H678" t="str">
        <f>INDEX([1]妻子表!$A:$A,MATCH(F678,[1]妻子表!$B:$B,0))</f>
        <v>ZA0022W01</v>
      </c>
      <c r="I678" t="str">
        <f>VLOOKUP(H678,[1]妻子表!$A:$D,4,0)</f>
        <v>戴氏</v>
      </c>
      <c r="J678" t="s">
        <v>4159</v>
      </c>
      <c r="K678" t="s">
        <v>4355</v>
      </c>
      <c r="L678" t="s">
        <v>3153</v>
      </c>
      <c r="M678" t="s">
        <v>4356</v>
      </c>
      <c r="N678" t="s">
        <v>4252</v>
      </c>
      <c r="O678" t="s">
        <v>4357</v>
      </c>
      <c r="P678" t="s">
        <v>407</v>
      </c>
      <c r="Q678" t="s">
        <v>4358</v>
      </c>
      <c r="R678" t="s">
        <v>4359</v>
      </c>
      <c r="S678" t="s">
        <v>4360</v>
      </c>
      <c r="T678" s="2" t="s">
        <v>4361</v>
      </c>
      <c r="U678" t="s">
        <v>174</v>
      </c>
      <c r="AA678" t="s">
        <v>4362</v>
      </c>
    </row>
    <row r="679" spans="1:27" x14ac:dyDescent="0.25">
      <c r="A679" t="s">
        <v>4363</v>
      </c>
      <c r="B679" t="s">
        <v>4364</v>
      </c>
      <c r="C679" t="s">
        <v>29</v>
      </c>
      <c r="D679" t="s">
        <v>614</v>
      </c>
      <c r="E679" t="s">
        <v>4158</v>
      </c>
      <c r="F679" t="s">
        <v>4285</v>
      </c>
      <c r="G679" t="s">
        <v>4286</v>
      </c>
      <c r="H679" t="str">
        <f>INDEX([1]妻子表!$A:$A,MATCH(F679,[1]妻子表!$B:$B,0))</f>
        <v>ZA0022W01</v>
      </c>
      <c r="I679" t="str">
        <f>VLOOKUP(H679,[1]妻子表!$A:$D,4,0)</f>
        <v>戴氏</v>
      </c>
      <c r="J679" t="s">
        <v>4159</v>
      </c>
      <c r="R679" t="s">
        <v>1965</v>
      </c>
      <c r="AA679" t="s">
        <v>4365</v>
      </c>
    </row>
    <row r="680" spans="1:27" x14ac:dyDescent="0.25">
      <c r="A680" t="s">
        <v>4366</v>
      </c>
      <c r="B680" t="s">
        <v>4367</v>
      </c>
      <c r="C680" t="s">
        <v>29</v>
      </c>
      <c r="D680" t="s">
        <v>614</v>
      </c>
      <c r="E680" t="s">
        <v>4158</v>
      </c>
      <c r="F680" t="s">
        <v>4285</v>
      </c>
      <c r="G680" t="s">
        <v>4286</v>
      </c>
      <c r="H680" t="str">
        <f>INDEX([1]妻子表!$A:$A,MATCH(F680,[1]妻子表!$B:$B,0))</f>
        <v>ZA0022W01</v>
      </c>
      <c r="I680" t="str">
        <f>VLOOKUP(H680,[1]妻子表!$A:$D,4,0)</f>
        <v>戴氏</v>
      </c>
      <c r="J680" t="s">
        <v>4159</v>
      </c>
      <c r="AA680" t="s">
        <v>4368</v>
      </c>
    </row>
    <row r="681" spans="1:27" x14ac:dyDescent="0.25">
      <c r="A681" t="s">
        <v>4369</v>
      </c>
      <c r="B681" t="s">
        <v>4370</v>
      </c>
      <c r="C681" t="s">
        <v>29</v>
      </c>
      <c r="D681" t="s">
        <v>614</v>
      </c>
      <c r="E681" t="s">
        <v>4158</v>
      </c>
      <c r="F681" t="s">
        <v>4285</v>
      </c>
      <c r="G681" t="s">
        <v>4286</v>
      </c>
      <c r="H681" t="str">
        <f>INDEX([1]妻子表!$A:$A,MATCH(F681,[1]妻子表!$B:$B,0))</f>
        <v>ZA0022W01</v>
      </c>
      <c r="I681" t="str">
        <f>VLOOKUP(H681,[1]妻子表!$A:$D,4,0)</f>
        <v>戴氏</v>
      </c>
      <c r="J681" t="s">
        <v>4159</v>
      </c>
      <c r="K681" t="s">
        <v>4189</v>
      </c>
      <c r="L681" t="s">
        <v>886</v>
      </c>
      <c r="M681" t="s">
        <v>4371</v>
      </c>
      <c r="N681" t="s">
        <v>4372</v>
      </c>
      <c r="O681" t="s">
        <v>4373</v>
      </c>
      <c r="P681" t="s">
        <v>257</v>
      </c>
      <c r="Q681" t="s">
        <v>4374</v>
      </c>
      <c r="R681" t="s">
        <v>1090</v>
      </c>
      <c r="S681" t="s">
        <v>4375</v>
      </c>
      <c r="T681" s="2" t="s">
        <v>4376</v>
      </c>
      <c r="U681" t="s">
        <v>1206</v>
      </c>
      <c r="AA681" t="s">
        <v>4377</v>
      </c>
    </row>
    <row r="682" spans="1:27" x14ac:dyDescent="0.25">
      <c r="A682" t="s">
        <v>4378</v>
      </c>
      <c r="B682" t="s">
        <v>4379</v>
      </c>
      <c r="C682" t="s">
        <v>29</v>
      </c>
      <c r="D682" t="s">
        <v>614</v>
      </c>
      <c r="E682" t="s">
        <v>4158</v>
      </c>
      <c r="F682" t="s">
        <v>4285</v>
      </c>
      <c r="G682" t="s">
        <v>4286</v>
      </c>
      <c r="H682" t="str">
        <f>INDEX([1]妻子表!$A:$A,MATCH(F682,[1]妻子表!$B:$B,0))</f>
        <v>ZA0022W01</v>
      </c>
      <c r="I682" t="str">
        <f>VLOOKUP(H682,[1]妻子表!$A:$D,4,0)</f>
        <v>戴氏</v>
      </c>
      <c r="J682" t="s">
        <v>4159</v>
      </c>
      <c r="L682" t="s">
        <v>1228</v>
      </c>
      <c r="M682" t="s">
        <v>4380</v>
      </c>
      <c r="N682" t="s">
        <v>4381</v>
      </c>
      <c r="O682" t="s">
        <v>4382</v>
      </c>
      <c r="P682" t="s">
        <v>315</v>
      </c>
      <c r="Q682" t="s">
        <v>4383</v>
      </c>
      <c r="R682" t="s">
        <v>1587</v>
      </c>
      <c r="S682" t="s">
        <v>4384</v>
      </c>
      <c r="T682" s="2" t="s">
        <v>4385</v>
      </c>
      <c r="U682" t="s">
        <v>174</v>
      </c>
      <c r="AA682" t="s">
        <v>4386</v>
      </c>
    </row>
    <row r="683" spans="1:27" x14ac:dyDescent="0.25">
      <c r="A683" t="s">
        <v>4387</v>
      </c>
      <c r="B683" t="s">
        <v>4388</v>
      </c>
      <c r="C683" t="s">
        <v>29</v>
      </c>
      <c r="D683" t="s">
        <v>614</v>
      </c>
      <c r="E683" t="s">
        <v>4158</v>
      </c>
      <c r="F683" t="s">
        <v>4294</v>
      </c>
      <c r="G683" t="s">
        <v>4295</v>
      </c>
      <c r="H683" t="str">
        <f>INDEX([1]妻子表!$A:$A,MATCH(F683,[1]妻子表!$B:$B,0))</f>
        <v>ZA0023W01</v>
      </c>
      <c r="I683" t="str">
        <f>VLOOKUP(H683,[1]妻子表!$A:$D,4,0)</f>
        <v>刘氏</v>
      </c>
      <c r="J683" t="s">
        <v>4159</v>
      </c>
      <c r="K683" t="s">
        <v>492</v>
      </c>
      <c r="L683" t="s">
        <v>570</v>
      </c>
      <c r="M683" t="s">
        <v>4389</v>
      </c>
      <c r="N683" t="s">
        <v>547</v>
      </c>
      <c r="O683" t="s">
        <v>4390</v>
      </c>
      <c r="P683" t="s">
        <v>601</v>
      </c>
      <c r="Q683" t="s">
        <v>4391</v>
      </c>
      <c r="R683" t="s">
        <v>713</v>
      </c>
      <c r="S683" t="s">
        <v>4392</v>
      </c>
      <c r="T683" s="2" t="s">
        <v>4393</v>
      </c>
      <c r="U683" t="s">
        <v>882</v>
      </c>
      <c r="AA683" t="s">
        <v>4394</v>
      </c>
    </row>
    <row r="684" spans="1:27" x14ac:dyDescent="0.25">
      <c r="A684" t="s">
        <v>4395</v>
      </c>
      <c r="B684" t="s">
        <v>4396</v>
      </c>
      <c r="C684" t="s">
        <v>29</v>
      </c>
      <c r="D684" t="s">
        <v>614</v>
      </c>
      <c r="E684" t="s">
        <v>4158</v>
      </c>
      <c r="F684" t="s">
        <v>4294</v>
      </c>
      <c r="G684" t="s">
        <v>4295</v>
      </c>
      <c r="H684" t="str">
        <f>INDEX([1]妻子表!$A:$A,MATCH(F684,[1]妻子表!$B:$B,0))</f>
        <v>ZA0023W01</v>
      </c>
      <c r="I684" t="str">
        <f>VLOOKUP(H684,[1]妻子表!$A:$D,4,0)</f>
        <v>刘氏</v>
      </c>
      <c r="J684" t="s">
        <v>4159</v>
      </c>
      <c r="K684" t="s">
        <v>492</v>
      </c>
      <c r="L684" t="s">
        <v>725</v>
      </c>
      <c r="M684" t="s">
        <v>4397</v>
      </c>
      <c r="N684" t="s">
        <v>644</v>
      </c>
      <c r="O684" t="s">
        <v>4398</v>
      </c>
      <c r="P684" t="s">
        <v>458</v>
      </c>
      <c r="Q684" t="s">
        <v>4399</v>
      </c>
      <c r="R684" t="s">
        <v>891</v>
      </c>
      <c r="S684" t="s">
        <v>4400</v>
      </c>
      <c r="T684" s="2" t="s">
        <v>4401</v>
      </c>
      <c r="U684" t="s">
        <v>38</v>
      </c>
      <c r="AA684" t="s">
        <v>4402</v>
      </c>
    </row>
    <row r="685" spans="1:27" x14ac:dyDescent="0.25">
      <c r="A685" t="s">
        <v>4403</v>
      </c>
      <c r="B685" t="s">
        <v>4404</v>
      </c>
      <c r="C685" t="s">
        <v>29</v>
      </c>
      <c r="D685" t="s">
        <v>614</v>
      </c>
      <c r="E685" t="s">
        <v>4158</v>
      </c>
      <c r="F685" t="s">
        <v>4294</v>
      </c>
      <c r="G685" t="s">
        <v>4295</v>
      </c>
      <c r="H685" t="str">
        <f>INDEX([1]妻子表!$A:$A,MATCH(F685,[1]妻子表!$B:$B,0))</f>
        <v>ZA0023W01</v>
      </c>
      <c r="I685" t="str">
        <f>VLOOKUP(H685,[1]妻子表!$A:$D,4,0)</f>
        <v>刘氏</v>
      </c>
      <c r="J685" t="s">
        <v>4159</v>
      </c>
      <c r="K685" t="s">
        <v>4355</v>
      </c>
      <c r="T685" s="2" t="s">
        <v>4405</v>
      </c>
      <c r="U685" t="s">
        <v>174</v>
      </c>
      <c r="AA685" t="s">
        <v>4406</v>
      </c>
    </row>
    <row r="686" spans="1:27" x14ac:dyDescent="0.25">
      <c r="A686" t="s">
        <v>4407</v>
      </c>
      <c r="B686" t="s">
        <v>4408</v>
      </c>
      <c r="C686" t="s">
        <v>29</v>
      </c>
      <c r="D686" t="s">
        <v>614</v>
      </c>
      <c r="E686" t="s">
        <v>4158</v>
      </c>
      <c r="F686" t="s">
        <v>4294</v>
      </c>
      <c r="G686" t="s">
        <v>4295</v>
      </c>
      <c r="H686" t="str">
        <f>INDEX([1]妻子表!$A:$A,MATCH(F686,[1]妻子表!$B:$B,0))</f>
        <v>ZA0023W01</v>
      </c>
      <c r="I686" t="str">
        <f>VLOOKUP(H686,[1]妻子表!$A:$D,4,0)</f>
        <v>刘氏</v>
      </c>
      <c r="J686" t="s">
        <v>4159</v>
      </c>
      <c r="K686" t="s">
        <v>492</v>
      </c>
      <c r="L686" t="s">
        <v>1271</v>
      </c>
      <c r="M686" t="s">
        <v>4409</v>
      </c>
      <c r="N686" t="s">
        <v>586</v>
      </c>
      <c r="O686" t="s">
        <v>4410</v>
      </c>
      <c r="P686" t="s">
        <v>200</v>
      </c>
      <c r="Q686" t="s">
        <v>4411</v>
      </c>
      <c r="R686" t="s">
        <v>984</v>
      </c>
      <c r="S686" t="s">
        <v>4412</v>
      </c>
      <c r="T686" s="2" t="s">
        <v>4413</v>
      </c>
      <c r="U686" t="s">
        <v>174</v>
      </c>
      <c r="AA686" t="s">
        <v>4414</v>
      </c>
    </row>
    <row r="687" spans="1:27" x14ac:dyDescent="0.25">
      <c r="A687" t="s">
        <v>4415</v>
      </c>
      <c r="B687" t="s">
        <v>4416</v>
      </c>
      <c r="C687" t="s">
        <v>29</v>
      </c>
      <c r="D687" t="s">
        <v>614</v>
      </c>
      <c r="E687" t="s">
        <v>4158</v>
      </c>
      <c r="F687" t="s">
        <v>4294</v>
      </c>
      <c r="G687" t="s">
        <v>4295</v>
      </c>
      <c r="H687" t="str">
        <f>INDEX([1]妻子表!$A:$A,MATCH(F687,[1]妻子表!$B:$B,0))</f>
        <v>ZA0023W01</v>
      </c>
      <c r="I687" t="str">
        <f>VLOOKUP(H687,[1]妻子表!$A:$D,4,0)</f>
        <v>刘氏</v>
      </c>
      <c r="J687" t="s">
        <v>4159</v>
      </c>
      <c r="L687" t="s">
        <v>1215</v>
      </c>
      <c r="M687" t="s">
        <v>4417</v>
      </c>
      <c r="N687" t="s">
        <v>4252</v>
      </c>
      <c r="O687" t="s">
        <v>4418</v>
      </c>
      <c r="P687" t="s">
        <v>407</v>
      </c>
      <c r="Q687" t="s">
        <v>4419</v>
      </c>
      <c r="R687" t="s">
        <v>2848</v>
      </c>
      <c r="S687" t="s">
        <v>4420</v>
      </c>
      <c r="T687" s="2" t="s">
        <v>4421</v>
      </c>
      <c r="U687" t="s">
        <v>1221</v>
      </c>
      <c r="AA687" t="s">
        <v>4422</v>
      </c>
    </row>
    <row r="688" spans="1:27" x14ac:dyDescent="0.25">
      <c r="A688" t="s">
        <v>4423</v>
      </c>
      <c r="B688" t="s">
        <v>4424</v>
      </c>
      <c r="C688" t="s">
        <v>29</v>
      </c>
      <c r="D688" t="s">
        <v>614</v>
      </c>
      <c r="E688" t="s">
        <v>4158</v>
      </c>
      <c r="F688" t="s">
        <v>4294</v>
      </c>
      <c r="G688" t="s">
        <v>4295</v>
      </c>
      <c r="H688" t="str">
        <f>INDEX([1]妻子表!$A:$A,MATCH(F688,[1]妻子表!$B:$B,0))</f>
        <v>ZA0023W01</v>
      </c>
      <c r="I688" t="str">
        <f>VLOOKUP(H688,[1]妻子表!$A:$D,4,0)</f>
        <v>刘氏</v>
      </c>
      <c r="J688" t="s">
        <v>4159</v>
      </c>
      <c r="K688" t="s">
        <v>2651</v>
      </c>
      <c r="L688" t="s">
        <v>4425</v>
      </c>
      <c r="M688" t="s">
        <v>4426</v>
      </c>
      <c r="N688" t="s">
        <v>4427</v>
      </c>
      <c r="O688" t="s">
        <v>4428</v>
      </c>
      <c r="P688" t="s">
        <v>257</v>
      </c>
      <c r="Q688" t="s">
        <v>4429</v>
      </c>
      <c r="R688" t="s">
        <v>603</v>
      </c>
      <c r="S688" t="s">
        <v>4430</v>
      </c>
      <c r="T688" s="2" t="s">
        <v>4431</v>
      </c>
      <c r="U688" t="s">
        <v>649</v>
      </c>
      <c r="AA688" t="s">
        <v>4432</v>
      </c>
    </row>
    <row r="689" spans="1:27" x14ac:dyDescent="0.25">
      <c r="A689" t="s">
        <v>4433</v>
      </c>
      <c r="B689" t="s">
        <v>4434</v>
      </c>
      <c r="C689" t="s">
        <v>29</v>
      </c>
      <c r="D689" t="s">
        <v>614</v>
      </c>
      <c r="E689" t="s">
        <v>4158</v>
      </c>
      <c r="F689" t="s">
        <v>4303</v>
      </c>
      <c r="G689" t="s">
        <v>4304</v>
      </c>
      <c r="H689" t="str">
        <f>INDEX([1]妻子表!$A:$A,MATCH(F689,[1]妻子表!$B:$B,0))</f>
        <v>ZA0024W01</v>
      </c>
      <c r="I689" t="str">
        <f>VLOOKUP(H689,[1]妻子表!$A:$D,4,0)</f>
        <v>刘氏</v>
      </c>
      <c r="J689" t="s">
        <v>4159</v>
      </c>
      <c r="K689" t="s">
        <v>492</v>
      </c>
      <c r="L689" t="s">
        <v>253</v>
      </c>
      <c r="M689" t="s">
        <v>4435</v>
      </c>
      <c r="N689" t="s">
        <v>629</v>
      </c>
      <c r="O689" t="s">
        <v>4436</v>
      </c>
      <c r="P689" t="s">
        <v>224</v>
      </c>
      <c r="Q689" t="s">
        <v>4437</v>
      </c>
      <c r="R689" t="s">
        <v>1390</v>
      </c>
      <c r="S689" t="s">
        <v>4438</v>
      </c>
      <c r="T689" s="2" t="s">
        <v>4439</v>
      </c>
      <c r="U689" t="s">
        <v>95</v>
      </c>
      <c r="AA689" t="s">
        <v>4440</v>
      </c>
    </row>
    <row r="690" spans="1:27" x14ac:dyDescent="0.25">
      <c r="A690" t="s">
        <v>4441</v>
      </c>
      <c r="B690" t="s">
        <v>4442</v>
      </c>
      <c r="C690" t="s">
        <v>29</v>
      </c>
      <c r="D690" t="s">
        <v>614</v>
      </c>
      <c r="E690" t="s">
        <v>4158</v>
      </c>
      <c r="F690" t="s">
        <v>4303</v>
      </c>
      <c r="G690" t="s">
        <v>4304</v>
      </c>
      <c r="H690" t="str">
        <f>INDEX([1]妻子表!$A:$A,MATCH(F690,[1]妻子表!$B:$B,0))</f>
        <v>ZA0024W01</v>
      </c>
      <c r="I690" t="str">
        <f>VLOOKUP(H690,[1]妻子表!$A:$D,4,0)</f>
        <v>刘氏</v>
      </c>
      <c r="J690" t="s">
        <v>4159</v>
      </c>
      <c r="L690" t="s">
        <v>553</v>
      </c>
      <c r="M690" t="s">
        <v>4443</v>
      </c>
      <c r="N690" t="s">
        <v>710</v>
      </c>
      <c r="O690" t="s">
        <v>4444</v>
      </c>
      <c r="P690" t="s">
        <v>108</v>
      </c>
      <c r="Q690" t="s">
        <v>4445</v>
      </c>
      <c r="R690" t="s">
        <v>1087</v>
      </c>
      <c r="S690" t="s">
        <v>4446</v>
      </c>
      <c r="T690" s="2" t="s">
        <v>4447</v>
      </c>
      <c r="U690" t="s">
        <v>95</v>
      </c>
      <c r="AA690" t="s">
        <v>4448</v>
      </c>
    </row>
    <row r="691" spans="1:27" ht="31.5" customHeight="1" x14ac:dyDescent="0.25">
      <c r="A691" t="s">
        <v>4449</v>
      </c>
      <c r="B691" t="s">
        <v>4450</v>
      </c>
      <c r="C691" t="s">
        <v>29</v>
      </c>
      <c r="D691" t="s">
        <v>761</v>
      </c>
      <c r="E691" t="s">
        <v>4158</v>
      </c>
      <c r="F691" t="s">
        <v>4312</v>
      </c>
      <c r="G691" t="s">
        <v>4313</v>
      </c>
      <c r="H691" t="str">
        <f>INDEX([1]妻子表!$A:$A,MATCH(F691,[1]妻子表!$B:$B,0))</f>
        <v>ZA0025W01</v>
      </c>
      <c r="I691" t="str">
        <f>VLOOKUP(H691,[1]妻子表!$A:$D,4,0)</f>
        <v>穰氏</v>
      </c>
      <c r="J691" t="s">
        <v>4159</v>
      </c>
      <c r="K691" t="s">
        <v>4451</v>
      </c>
      <c r="L691" t="s">
        <v>4452</v>
      </c>
      <c r="M691" t="s">
        <v>4453</v>
      </c>
      <c r="N691" t="s">
        <v>872</v>
      </c>
      <c r="O691" t="s">
        <v>4454</v>
      </c>
      <c r="P691" t="s">
        <v>407</v>
      </c>
      <c r="Q691" t="s">
        <v>4455</v>
      </c>
      <c r="R691" t="s">
        <v>1456</v>
      </c>
      <c r="S691" t="s">
        <v>4456</v>
      </c>
      <c r="T691" s="2" t="s">
        <v>4457</v>
      </c>
      <c r="U691" t="s">
        <v>4458</v>
      </c>
      <c r="AA691" t="s">
        <v>4459</v>
      </c>
    </row>
    <row r="692" spans="1:27" x14ac:dyDescent="0.25">
      <c r="A692" t="s">
        <v>4460</v>
      </c>
      <c r="B692" t="s">
        <v>4461</v>
      </c>
      <c r="C692" t="s">
        <v>29</v>
      </c>
      <c r="D692" t="s">
        <v>761</v>
      </c>
      <c r="E692" t="s">
        <v>4158</v>
      </c>
      <c r="F692" t="s">
        <v>4341</v>
      </c>
      <c r="G692" t="s">
        <v>4342</v>
      </c>
      <c r="H692" t="str">
        <f>INDEX([1]妻子表!$A:$A,MATCH(F692,[1]妻子表!$B:$B,0))</f>
        <v>ZA0031W01</v>
      </c>
      <c r="I692" t="str">
        <f>VLOOKUP(H692,[1]妻子表!$A:$D,4,0)</f>
        <v>刘氏</v>
      </c>
      <c r="J692" t="s">
        <v>4159</v>
      </c>
      <c r="L692" t="s">
        <v>361</v>
      </c>
      <c r="M692" t="s">
        <v>4462</v>
      </c>
      <c r="N692" t="s">
        <v>1000</v>
      </c>
      <c r="O692" t="s">
        <v>4463</v>
      </c>
      <c r="P692" t="s">
        <v>315</v>
      </c>
      <c r="Q692" t="s">
        <v>4464</v>
      </c>
      <c r="R692" t="s">
        <v>1648</v>
      </c>
      <c r="S692" t="s">
        <v>4465</v>
      </c>
      <c r="AA692" t="s">
        <v>4466</v>
      </c>
    </row>
    <row r="693" spans="1:27" x14ac:dyDescent="0.25">
      <c r="A693" t="s">
        <v>4467</v>
      </c>
      <c r="B693" t="s">
        <v>4468</v>
      </c>
      <c r="C693" t="s">
        <v>29</v>
      </c>
      <c r="D693" t="s">
        <v>761</v>
      </c>
      <c r="E693" t="s">
        <v>4158</v>
      </c>
      <c r="F693" t="s">
        <v>4348</v>
      </c>
      <c r="G693" t="s">
        <v>4349</v>
      </c>
      <c r="H693" t="str">
        <f>INDEX([1]妻子表!$A:$A,MATCH(F693,[1]妻子表!$B:$B,0))</f>
        <v>ZA0032W01</v>
      </c>
      <c r="I693" t="str">
        <f>VLOOKUP(H693,[1]妻子表!$A:$D,4,0)</f>
        <v>李氏</v>
      </c>
      <c r="J693" t="s">
        <v>4159</v>
      </c>
      <c r="K693" t="s">
        <v>4469</v>
      </c>
      <c r="L693" t="s">
        <v>417</v>
      </c>
      <c r="M693" t="s">
        <v>4470</v>
      </c>
      <c r="N693" t="s">
        <v>981</v>
      </c>
      <c r="O693" t="s">
        <v>4471</v>
      </c>
      <c r="P693" t="s">
        <v>497</v>
      </c>
      <c r="Q693" t="s">
        <v>4472</v>
      </c>
      <c r="R693" t="s">
        <v>1343</v>
      </c>
      <c r="S693" t="s">
        <v>4473</v>
      </c>
      <c r="T693" s="2" t="s">
        <v>4474</v>
      </c>
      <c r="U693" t="s">
        <v>449</v>
      </c>
      <c r="AA693" t="s">
        <v>4475</v>
      </c>
    </row>
    <row r="694" spans="1:27" x14ac:dyDescent="0.25">
      <c r="A694" t="s">
        <v>4476</v>
      </c>
      <c r="B694" t="s">
        <v>4477</v>
      </c>
      <c r="C694" t="s">
        <v>29</v>
      </c>
      <c r="D694" t="s">
        <v>761</v>
      </c>
      <c r="E694" t="s">
        <v>4158</v>
      </c>
      <c r="F694" t="s">
        <v>4348</v>
      </c>
      <c r="G694" t="s">
        <v>4349</v>
      </c>
      <c r="H694" t="str">
        <f>INDEX([1]妻子表!$A:$A,MATCH(F694,[1]妻子表!$B:$B,0))</f>
        <v>ZA0032W01</v>
      </c>
      <c r="I694" t="str">
        <f>VLOOKUP(H694,[1]妻子表!$A:$D,4,0)</f>
        <v>李氏</v>
      </c>
      <c r="J694" t="s">
        <v>4159</v>
      </c>
    </row>
    <row r="695" spans="1:27" x14ac:dyDescent="0.25">
      <c r="A695" t="s">
        <v>4478</v>
      </c>
      <c r="B695" t="s">
        <v>4479</v>
      </c>
      <c r="C695" t="s">
        <v>29</v>
      </c>
      <c r="D695" t="s">
        <v>761</v>
      </c>
      <c r="E695" t="s">
        <v>4158</v>
      </c>
      <c r="F695" t="s">
        <v>4353</v>
      </c>
      <c r="G695" t="s">
        <v>4354</v>
      </c>
      <c r="H695" t="str">
        <f>INDEX([1]妻子表!$A:$A,MATCH(F695,[1]妻子表!$B:$B,0))</f>
        <v>ZA0033W01</v>
      </c>
      <c r="I695" t="str">
        <f>VLOOKUP(H695,[1]妻子表!$A:$D,4,0)</f>
        <v>刘氏</v>
      </c>
      <c r="J695" t="s">
        <v>4159</v>
      </c>
      <c r="K695" t="s">
        <v>4480</v>
      </c>
      <c r="L695" t="s">
        <v>1317</v>
      </c>
      <c r="M695" t="s">
        <v>4481</v>
      </c>
      <c r="N695" t="s">
        <v>959</v>
      </c>
      <c r="O695" t="s">
        <v>4482</v>
      </c>
      <c r="P695" t="s">
        <v>240</v>
      </c>
      <c r="Q695" t="s">
        <v>4483</v>
      </c>
      <c r="R695" t="s">
        <v>1417</v>
      </c>
      <c r="S695" t="s">
        <v>4484</v>
      </c>
      <c r="T695" s="2" t="s">
        <v>4485</v>
      </c>
      <c r="U695" t="s">
        <v>882</v>
      </c>
      <c r="AA695" t="s">
        <v>4486</v>
      </c>
    </row>
    <row r="696" spans="1:27" x14ac:dyDescent="0.25">
      <c r="A696" t="s">
        <v>4487</v>
      </c>
      <c r="B696" t="s">
        <v>4488</v>
      </c>
      <c r="C696" t="s">
        <v>29</v>
      </c>
      <c r="D696" t="s">
        <v>761</v>
      </c>
      <c r="E696" t="s">
        <v>4158</v>
      </c>
      <c r="F696" t="s">
        <v>4353</v>
      </c>
      <c r="G696" t="s">
        <v>4354</v>
      </c>
      <c r="H696" t="str">
        <f>INDEX([1]妻子表!$A:$A,MATCH(F696,[1]妻子表!$B:$B,0))</f>
        <v>ZA0033W01</v>
      </c>
      <c r="I696" t="str">
        <f>VLOOKUP(H696,[1]妻子表!$A:$D,4,0)</f>
        <v>刘氏</v>
      </c>
      <c r="J696" t="s">
        <v>4159</v>
      </c>
      <c r="K696" t="s">
        <v>492</v>
      </c>
      <c r="L696" t="s">
        <v>180</v>
      </c>
      <c r="M696" t="s">
        <v>4489</v>
      </c>
      <c r="N696" t="s">
        <v>4490</v>
      </c>
      <c r="O696" t="s">
        <v>4491</v>
      </c>
      <c r="P696" t="s">
        <v>200</v>
      </c>
      <c r="Q696" t="s">
        <v>4492</v>
      </c>
      <c r="R696" t="s">
        <v>1284</v>
      </c>
      <c r="S696" t="s">
        <v>4493</v>
      </c>
      <c r="T696" s="2" t="s">
        <v>4494</v>
      </c>
      <c r="U696" t="s">
        <v>95</v>
      </c>
      <c r="AA696" t="s">
        <v>4495</v>
      </c>
    </row>
    <row r="697" spans="1:27" x14ac:dyDescent="0.25">
      <c r="A697" t="s">
        <v>4496</v>
      </c>
      <c r="B697" t="s">
        <v>4497</v>
      </c>
      <c r="C697" t="s">
        <v>29</v>
      </c>
      <c r="D697" t="s">
        <v>761</v>
      </c>
      <c r="E697" t="s">
        <v>4158</v>
      </c>
      <c r="F697" t="s">
        <v>4369</v>
      </c>
      <c r="G697" t="s">
        <v>4370</v>
      </c>
      <c r="H697" t="str">
        <f>INDEX([1]妻子表!$A:$A,MATCH(F697,[1]妻子表!$B:$B,0))</f>
        <v>ZA0036W01</v>
      </c>
      <c r="I697" t="str">
        <f>VLOOKUP(H697,[1]妻子表!$A:$D,4,0)</f>
        <v>廖氏</v>
      </c>
      <c r="J697" t="s">
        <v>4159</v>
      </c>
    </row>
    <row r="698" spans="1:27" x14ac:dyDescent="0.25">
      <c r="A698" t="s">
        <v>4498</v>
      </c>
      <c r="B698" t="s">
        <v>4499</v>
      </c>
      <c r="C698" t="s">
        <v>29</v>
      </c>
      <c r="D698" t="s">
        <v>761</v>
      </c>
      <c r="E698" t="s">
        <v>4158</v>
      </c>
      <c r="F698" t="s">
        <v>4369</v>
      </c>
      <c r="G698" t="s">
        <v>4370</v>
      </c>
      <c r="H698" t="str">
        <f>INDEX([1]妻子表!$A:$A,MATCH(F698,[1]妻子表!$B:$B,0))</f>
        <v>ZA0036W01</v>
      </c>
      <c r="I698" t="str">
        <f>VLOOKUP(H698,[1]妻子表!$A:$D,4,0)</f>
        <v>廖氏</v>
      </c>
      <c r="J698" t="s">
        <v>4159</v>
      </c>
    </row>
    <row r="699" spans="1:27" x14ac:dyDescent="0.25">
      <c r="A699" t="s">
        <v>4500</v>
      </c>
      <c r="B699" t="s">
        <v>4501</v>
      </c>
      <c r="C699" t="s">
        <v>29</v>
      </c>
      <c r="D699" t="s">
        <v>761</v>
      </c>
      <c r="E699" t="s">
        <v>4158</v>
      </c>
      <c r="F699" t="s">
        <v>4378</v>
      </c>
      <c r="G699" t="s">
        <v>4379</v>
      </c>
      <c r="H699" t="str">
        <f>INDEX([1]妻子表!$A:$A,MATCH(F699,[1]妻子表!$B:$B,0))</f>
        <v>ZA0037W01</v>
      </c>
      <c r="I699" t="str">
        <f>VLOOKUP(H699,[1]妻子表!$A:$D,4,0)</f>
        <v>刘氏</v>
      </c>
      <c r="J699" t="s">
        <v>4159</v>
      </c>
      <c r="M699" t="s">
        <v>4502</v>
      </c>
      <c r="N699" t="s">
        <v>767</v>
      </c>
      <c r="O699" t="s">
        <v>3876</v>
      </c>
      <c r="P699" t="s">
        <v>224</v>
      </c>
      <c r="AA699" t="s">
        <v>4503</v>
      </c>
    </row>
    <row r="700" spans="1:27" x14ac:dyDescent="0.25">
      <c r="A700" t="s">
        <v>4504</v>
      </c>
      <c r="B700" t="s">
        <v>4505</v>
      </c>
      <c r="C700" t="s">
        <v>29</v>
      </c>
      <c r="D700" t="s">
        <v>761</v>
      </c>
      <c r="E700" t="s">
        <v>4158</v>
      </c>
      <c r="F700" t="s">
        <v>4378</v>
      </c>
      <c r="G700" t="s">
        <v>4379</v>
      </c>
      <c r="H700" t="str">
        <f>INDEX([1]妻子表!$A:$A,MATCH(F700,[1]妻子表!$B:$B,0))</f>
        <v>ZA0037W01</v>
      </c>
      <c r="I700" t="str">
        <f>VLOOKUP(H700,[1]妻子表!$A:$D,4,0)</f>
        <v>刘氏</v>
      </c>
      <c r="J700" t="s">
        <v>4159</v>
      </c>
      <c r="L700" t="s">
        <v>1656</v>
      </c>
      <c r="M700" t="s">
        <v>4506</v>
      </c>
      <c r="N700" t="s">
        <v>689</v>
      </c>
      <c r="O700" t="s">
        <v>4507</v>
      </c>
      <c r="P700" t="s">
        <v>169</v>
      </c>
      <c r="Q700" t="s">
        <v>4508</v>
      </c>
      <c r="R700" t="s">
        <v>3024</v>
      </c>
      <c r="S700" t="s">
        <v>4509</v>
      </c>
      <c r="AA700" t="s">
        <v>4510</v>
      </c>
    </row>
    <row r="701" spans="1:27" x14ac:dyDescent="0.25">
      <c r="A701" t="s">
        <v>4511</v>
      </c>
      <c r="B701" t="s">
        <v>4512</v>
      </c>
      <c r="C701" t="s">
        <v>29</v>
      </c>
      <c r="D701" t="s">
        <v>761</v>
      </c>
      <c r="E701" t="s">
        <v>4158</v>
      </c>
      <c r="F701" t="s">
        <v>4387</v>
      </c>
      <c r="G701" t="s">
        <v>4388</v>
      </c>
      <c r="H701" t="str">
        <f>INDEX([1]妻子表!$A:$A,MATCH(F701,[1]妻子表!$B:$B,0))</f>
        <v>ZA0038W01</v>
      </c>
      <c r="I701" t="str">
        <f>VLOOKUP(H701,[1]妻子表!$A:$D,4,0)</f>
        <v>肖氏</v>
      </c>
      <c r="J701" t="s">
        <v>4159</v>
      </c>
      <c r="K701" t="s">
        <v>4355</v>
      </c>
      <c r="L701" t="s">
        <v>351</v>
      </c>
      <c r="M701" t="s">
        <v>4513</v>
      </c>
      <c r="N701" t="s">
        <v>4514</v>
      </c>
      <c r="O701" t="s">
        <v>4515</v>
      </c>
      <c r="P701" t="s">
        <v>169</v>
      </c>
      <c r="Q701" t="s">
        <v>4516</v>
      </c>
      <c r="R701" t="s">
        <v>1033</v>
      </c>
      <c r="S701" t="s">
        <v>4517</v>
      </c>
      <c r="T701" s="2" t="s">
        <v>4518</v>
      </c>
      <c r="U701" t="s">
        <v>95</v>
      </c>
      <c r="AA701" t="s">
        <v>4519</v>
      </c>
    </row>
    <row r="702" spans="1:27" x14ac:dyDescent="0.25">
      <c r="A702" t="s">
        <v>4520</v>
      </c>
      <c r="B702" t="s">
        <v>4521</v>
      </c>
      <c r="C702" t="s">
        <v>29</v>
      </c>
      <c r="D702" t="s">
        <v>761</v>
      </c>
      <c r="E702" t="s">
        <v>4158</v>
      </c>
      <c r="F702" t="s">
        <v>4403</v>
      </c>
      <c r="G702" t="s">
        <v>4404</v>
      </c>
      <c r="H702" t="str">
        <f>INDEX([1]妻子表!$A:$A,MATCH(F702,[1]妻子表!$B:$B,0))</f>
        <v>ZA0040W01</v>
      </c>
      <c r="I702" t="str">
        <f>VLOOKUP(H702,[1]妻子表!$A:$D,4,0)</f>
        <v>刘氏</v>
      </c>
      <c r="J702" t="s">
        <v>4159</v>
      </c>
      <c r="M702" t="s">
        <v>4522</v>
      </c>
      <c r="N702" t="s">
        <v>787</v>
      </c>
      <c r="O702" t="s">
        <v>4523</v>
      </c>
      <c r="P702" t="s">
        <v>458</v>
      </c>
      <c r="AA702" t="s">
        <v>4524</v>
      </c>
    </row>
    <row r="703" spans="1:27" x14ac:dyDescent="0.25">
      <c r="A703" t="s">
        <v>4525</v>
      </c>
      <c r="B703" t="s">
        <v>4526</v>
      </c>
      <c r="C703" t="s">
        <v>29</v>
      </c>
      <c r="D703" t="s">
        <v>761</v>
      </c>
      <c r="E703" t="s">
        <v>4158</v>
      </c>
      <c r="F703" t="s">
        <v>4407</v>
      </c>
      <c r="G703" t="s">
        <v>4408</v>
      </c>
      <c r="H703" t="str">
        <f>INDEX([1]妻子表!$A:$A,MATCH(F703,[1]妻子表!$B:$B,0))</f>
        <v>ZA0041W01</v>
      </c>
      <c r="I703" t="str">
        <f>VLOOKUP(H703,[1]妻子表!$A:$D,4,0)</f>
        <v>刘氏</v>
      </c>
      <c r="J703" t="s">
        <v>4159</v>
      </c>
      <c r="K703" t="s">
        <v>2651</v>
      </c>
      <c r="L703" t="s">
        <v>1085</v>
      </c>
      <c r="M703" t="s">
        <v>4527</v>
      </c>
      <c r="N703" t="s">
        <v>4528</v>
      </c>
      <c r="O703" t="s">
        <v>4529</v>
      </c>
      <c r="P703" t="s">
        <v>200</v>
      </c>
      <c r="Q703" t="s">
        <v>4530</v>
      </c>
      <c r="R703" t="s">
        <v>689</v>
      </c>
      <c r="S703" t="s">
        <v>4531</v>
      </c>
      <c r="T703" s="2" t="s">
        <v>4532</v>
      </c>
      <c r="U703" t="s">
        <v>777</v>
      </c>
      <c r="AA703" t="s">
        <v>4533</v>
      </c>
    </row>
    <row r="704" spans="1:27" x14ac:dyDescent="0.25">
      <c r="A704" t="s">
        <v>4534</v>
      </c>
      <c r="B704" t="s">
        <v>4535</v>
      </c>
      <c r="C704" t="s">
        <v>29</v>
      </c>
      <c r="D704" t="s">
        <v>761</v>
      </c>
      <c r="E704" t="s">
        <v>4158</v>
      </c>
      <c r="F704" t="s">
        <v>4415</v>
      </c>
      <c r="G704" t="s">
        <v>4416</v>
      </c>
      <c r="H704" t="str">
        <f>INDEX([1]妻子表!$A:$A,MATCH(F704,[1]妻子表!$B:$B,0))</f>
        <v>ZA0042W01</v>
      </c>
      <c r="I704" t="str">
        <f>VLOOKUP(H704,[1]妻子表!$A:$D,4,0)</f>
        <v>黄氏</v>
      </c>
      <c r="J704" t="s">
        <v>4159</v>
      </c>
      <c r="K704" t="s">
        <v>4536</v>
      </c>
      <c r="L704" t="s">
        <v>467</v>
      </c>
      <c r="M704" t="s">
        <v>4537</v>
      </c>
      <c r="N704" t="s">
        <v>4372</v>
      </c>
      <c r="O704" t="s">
        <v>4538</v>
      </c>
      <c r="P704" t="s">
        <v>257</v>
      </c>
      <c r="Q704" t="s">
        <v>4539</v>
      </c>
      <c r="R704" t="s">
        <v>1417</v>
      </c>
      <c r="S704" t="s">
        <v>4540</v>
      </c>
      <c r="T704" s="2" t="s">
        <v>4541</v>
      </c>
      <c r="U704" t="s">
        <v>174</v>
      </c>
      <c r="AA704" t="s">
        <v>4542</v>
      </c>
    </row>
    <row r="705" spans="1:27" x14ac:dyDescent="0.25">
      <c r="A705" t="s">
        <v>4543</v>
      </c>
      <c r="B705" t="s">
        <v>4544</v>
      </c>
      <c r="C705" t="s">
        <v>29</v>
      </c>
      <c r="D705" t="s">
        <v>761</v>
      </c>
      <c r="E705" t="s">
        <v>4158</v>
      </c>
      <c r="F705" t="s">
        <v>4415</v>
      </c>
      <c r="G705" t="s">
        <v>4416</v>
      </c>
      <c r="H705" t="str">
        <f>INDEX([1]妻子表!$A:$A,MATCH(F705,[1]妻子表!$B:$B,0))</f>
        <v>ZA0042W01</v>
      </c>
      <c r="I705" t="str">
        <f>VLOOKUP(H705,[1]妻子表!$A:$D,4,0)</f>
        <v>黄氏</v>
      </c>
      <c r="J705" t="s">
        <v>4159</v>
      </c>
      <c r="K705" t="s">
        <v>4545</v>
      </c>
      <c r="L705" t="s">
        <v>2625</v>
      </c>
      <c r="M705" t="s">
        <v>4546</v>
      </c>
      <c r="N705" t="s">
        <v>4359</v>
      </c>
      <c r="O705" t="s">
        <v>4547</v>
      </c>
      <c r="P705" t="s">
        <v>224</v>
      </c>
      <c r="Q705" t="s">
        <v>4548</v>
      </c>
      <c r="R705" t="s">
        <v>3108</v>
      </c>
      <c r="S705" t="s">
        <v>4549</v>
      </c>
      <c r="T705" s="2" t="s">
        <v>4550</v>
      </c>
      <c r="U705" t="s">
        <v>174</v>
      </c>
      <c r="AA705" t="s">
        <v>4551</v>
      </c>
    </row>
    <row r="706" spans="1:27" x14ac:dyDescent="0.25">
      <c r="A706" t="s">
        <v>4552</v>
      </c>
      <c r="B706" t="s">
        <v>4553</v>
      </c>
      <c r="C706" t="s">
        <v>29</v>
      </c>
      <c r="D706" t="s">
        <v>761</v>
      </c>
      <c r="E706" t="s">
        <v>4158</v>
      </c>
      <c r="F706" t="s">
        <v>4423</v>
      </c>
      <c r="G706" t="s">
        <v>4424</v>
      </c>
      <c r="H706" t="str">
        <f>INDEX([1]妻子表!$A:$A,MATCH(F706,[1]妻子表!$B:$B,0))</f>
        <v>ZA0043W01</v>
      </c>
      <c r="I706" t="str">
        <f>VLOOKUP(H706,[1]妻子表!$A:$D,4,0)</f>
        <v>高氏</v>
      </c>
      <c r="J706" t="s">
        <v>4159</v>
      </c>
      <c r="M706" t="s">
        <v>4554</v>
      </c>
      <c r="N706" t="s">
        <v>1011</v>
      </c>
      <c r="O706" t="s">
        <v>4555</v>
      </c>
      <c r="P706" t="s">
        <v>601</v>
      </c>
      <c r="T706" s="2" t="s">
        <v>4556</v>
      </c>
      <c r="U706" t="s">
        <v>777</v>
      </c>
      <c r="AA706" t="s">
        <v>4557</v>
      </c>
    </row>
    <row r="707" spans="1:27" x14ac:dyDescent="0.25">
      <c r="A707" t="s">
        <v>4558</v>
      </c>
      <c r="B707" t="s">
        <v>4559</v>
      </c>
      <c r="C707" t="s">
        <v>29</v>
      </c>
      <c r="D707" t="s">
        <v>761</v>
      </c>
      <c r="E707" t="s">
        <v>4158</v>
      </c>
      <c r="F707" t="s">
        <v>4423</v>
      </c>
      <c r="G707" t="s">
        <v>4424</v>
      </c>
      <c r="H707" t="str">
        <f>INDEX([1]妻子表!$A:$A,MATCH(F707,[1]妻子表!$B:$B,0))</f>
        <v>ZA0043W01</v>
      </c>
      <c r="I707" t="str">
        <f>VLOOKUP(H707,[1]妻子表!$A:$D,4,0)</f>
        <v>高氏</v>
      </c>
      <c r="J707" t="s">
        <v>4159</v>
      </c>
      <c r="K707" t="s">
        <v>4560</v>
      </c>
      <c r="L707" t="s">
        <v>4561</v>
      </c>
      <c r="M707" t="s">
        <v>4562</v>
      </c>
      <c r="N707" t="s">
        <v>909</v>
      </c>
      <c r="O707" t="s">
        <v>4563</v>
      </c>
      <c r="P707" t="s">
        <v>184</v>
      </c>
      <c r="Q707" t="s">
        <v>4564</v>
      </c>
      <c r="R707" t="s">
        <v>1448</v>
      </c>
      <c r="S707" t="s">
        <v>4565</v>
      </c>
      <c r="T707" s="2" t="s">
        <v>4566</v>
      </c>
      <c r="U707" t="s">
        <v>215</v>
      </c>
      <c r="AA707" t="s">
        <v>4567</v>
      </c>
    </row>
    <row r="708" spans="1:27" x14ac:dyDescent="0.25">
      <c r="A708" t="s">
        <v>4568</v>
      </c>
      <c r="B708" t="s">
        <v>4569</v>
      </c>
      <c r="C708" t="s">
        <v>29</v>
      </c>
      <c r="D708" t="s">
        <v>761</v>
      </c>
      <c r="E708" t="s">
        <v>4158</v>
      </c>
      <c r="F708" t="s">
        <v>4433</v>
      </c>
      <c r="G708" t="s">
        <v>4434</v>
      </c>
      <c r="H708" t="str">
        <f>INDEX([1]妻子表!$A:$A,MATCH(F708,[1]妻子表!$B:$B,0))</f>
        <v>ZA0044W01</v>
      </c>
      <c r="I708" t="str">
        <f>VLOOKUP(H708,[1]妻子表!$A:$D,4,0)</f>
        <v>彭氏</v>
      </c>
      <c r="J708" t="s">
        <v>4159</v>
      </c>
      <c r="K708" t="s">
        <v>4451</v>
      </c>
      <c r="L708" t="s">
        <v>2482</v>
      </c>
      <c r="M708" t="s">
        <v>4570</v>
      </c>
      <c r="N708" t="s">
        <v>939</v>
      </c>
      <c r="O708" t="s">
        <v>4571</v>
      </c>
      <c r="P708" t="s">
        <v>315</v>
      </c>
      <c r="Q708" t="s">
        <v>4572</v>
      </c>
      <c r="R708" t="s">
        <v>1096</v>
      </c>
      <c r="S708" t="s">
        <v>4573</v>
      </c>
      <c r="T708" s="2" t="s">
        <v>4574</v>
      </c>
      <c r="U708" t="s">
        <v>942</v>
      </c>
      <c r="AA708" t="s">
        <v>4575</v>
      </c>
    </row>
    <row r="709" spans="1:27" x14ac:dyDescent="0.25">
      <c r="A709" t="s">
        <v>4576</v>
      </c>
      <c r="B709" t="s">
        <v>4577</v>
      </c>
      <c r="C709" t="s">
        <v>29</v>
      </c>
      <c r="D709" t="s">
        <v>761</v>
      </c>
      <c r="E709" t="s">
        <v>4158</v>
      </c>
      <c r="F709" t="s">
        <v>4433</v>
      </c>
      <c r="G709" t="s">
        <v>4434</v>
      </c>
      <c r="H709" t="str">
        <f>INDEX([1]妻子表!$A:$A,MATCH(F709,[1]妻子表!$B:$B,0))</f>
        <v>ZA0044W01</v>
      </c>
      <c r="I709" t="str">
        <f>VLOOKUP(H709,[1]妻子表!$A:$D,4,0)</f>
        <v>彭氏</v>
      </c>
      <c r="J709" t="s">
        <v>4159</v>
      </c>
      <c r="K709" t="s">
        <v>4578</v>
      </c>
      <c r="L709" t="s">
        <v>493</v>
      </c>
      <c r="M709" t="s">
        <v>4579</v>
      </c>
      <c r="N709" t="s">
        <v>959</v>
      </c>
      <c r="O709" t="s">
        <v>4580</v>
      </c>
      <c r="P709" t="s">
        <v>240</v>
      </c>
      <c r="Q709" t="s">
        <v>4581</v>
      </c>
      <c r="R709" t="s">
        <v>984</v>
      </c>
      <c r="S709" t="s">
        <v>4582</v>
      </c>
      <c r="T709" s="2" t="s">
        <v>4583</v>
      </c>
      <c r="U709" t="s">
        <v>189</v>
      </c>
      <c r="AA709" t="s">
        <v>4584</v>
      </c>
    </row>
    <row r="710" spans="1:27" x14ac:dyDescent="0.25">
      <c r="A710" t="s">
        <v>4585</v>
      </c>
      <c r="B710" t="s">
        <v>4586</v>
      </c>
      <c r="C710" t="s">
        <v>29</v>
      </c>
      <c r="D710" t="s">
        <v>761</v>
      </c>
      <c r="E710" t="s">
        <v>4158</v>
      </c>
      <c r="F710" t="s">
        <v>4441</v>
      </c>
      <c r="G710" t="s">
        <v>4442</v>
      </c>
      <c r="H710" t="str">
        <f>INDEX([1]妻子表!$A:$A,MATCH(F710,[1]妻子表!$B:$B,0))</f>
        <v>ZA0045W01</v>
      </c>
      <c r="I710" t="str">
        <f>VLOOKUP(H710,[1]妻子表!$A:$D,4,0)</f>
        <v>彭氏</v>
      </c>
      <c r="J710" t="s">
        <v>4159</v>
      </c>
      <c r="K710" t="s">
        <v>4355</v>
      </c>
      <c r="Q710" t="s">
        <v>4587</v>
      </c>
      <c r="R710" t="s">
        <v>1598</v>
      </c>
      <c r="S710" t="s">
        <v>4588</v>
      </c>
      <c r="T710" s="2" t="s">
        <v>4589</v>
      </c>
      <c r="U710" t="s">
        <v>174</v>
      </c>
      <c r="AA710" t="s">
        <v>4590</v>
      </c>
    </row>
    <row r="711" spans="1:27" ht="31.5" customHeight="1" x14ac:dyDescent="0.25">
      <c r="A711" t="s">
        <v>4591</v>
      </c>
      <c r="B711" t="s">
        <v>4592</v>
      </c>
      <c r="C711" t="s">
        <v>29</v>
      </c>
      <c r="D711" t="s">
        <v>761</v>
      </c>
      <c r="E711" t="s">
        <v>4158</v>
      </c>
      <c r="F711" t="s">
        <v>4449</v>
      </c>
      <c r="G711" t="s">
        <v>4450</v>
      </c>
      <c r="H711" t="str">
        <f>INDEX([1]妻子表!$A:$A,MATCH(F711,[1]妻子表!$B:$B,0))</f>
        <v>ZA0046W01</v>
      </c>
      <c r="I711" t="str">
        <f>VLOOKUP(H711,[1]妻子表!$A:$D,4,0)</f>
        <v>刘氏</v>
      </c>
      <c r="J711" t="s">
        <v>4159</v>
      </c>
      <c r="K711" t="s">
        <v>4593</v>
      </c>
      <c r="Q711" t="s">
        <v>4594</v>
      </c>
      <c r="R711" t="s">
        <v>2870</v>
      </c>
      <c r="S711" t="s">
        <v>4595</v>
      </c>
      <c r="T711" s="2" t="s">
        <v>4596</v>
      </c>
      <c r="U711" t="s">
        <v>4597</v>
      </c>
      <c r="AA711" t="s">
        <v>4598</v>
      </c>
    </row>
    <row r="712" spans="1:27" x14ac:dyDescent="0.25">
      <c r="A712" t="s">
        <v>4599</v>
      </c>
      <c r="B712" t="s">
        <v>4600</v>
      </c>
      <c r="C712" t="s">
        <v>29</v>
      </c>
      <c r="D712" t="s">
        <v>761</v>
      </c>
      <c r="E712" t="s">
        <v>4158</v>
      </c>
      <c r="F712" t="s">
        <v>4449</v>
      </c>
      <c r="G712" t="s">
        <v>4450</v>
      </c>
      <c r="H712" t="str">
        <f>INDEX([1]妻子表!$A:$A,MATCH(F712,[1]妻子表!$B:$B,0))</f>
        <v>ZA0046W01</v>
      </c>
      <c r="I712" t="str">
        <f>VLOOKUP(H712,[1]妻子表!$A:$D,4,0)</f>
        <v>刘氏</v>
      </c>
      <c r="J712" t="s">
        <v>4159</v>
      </c>
      <c r="K712" t="s">
        <v>4601</v>
      </c>
      <c r="L712" t="s">
        <v>374</v>
      </c>
      <c r="M712" t="s">
        <v>4602</v>
      </c>
      <c r="N712" t="s">
        <v>1456</v>
      </c>
      <c r="O712" t="s">
        <v>4603</v>
      </c>
      <c r="P712" t="s">
        <v>184</v>
      </c>
      <c r="Q712" t="s">
        <v>4604</v>
      </c>
      <c r="R712" t="s">
        <v>2811</v>
      </c>
      <c r="S712" t="s">
        <v>4605</v>
      </c>
      <c r="T712" s="2" t="s">
        <v>4606</v>
      </c>
      <c r="U712" t="s">
        <v>4607</v>
      </c>
      <c r="AA712" t="s">
        <v>4608</v>
      </c>
    </row>
    <row r="713" spans="1:27" x14ac:dyDescent="0.25">
      <c r="A713" t="s">
        <v>4609</v>
      </c>
      <c r="B713" t="s">
        <v>4610</v>
      </c>
      <c r="C713" t="s">
        <v>29</v>
      </c>
      <c r="D713" t="s">
        <v>761</v>
      </c>
      <c r="E713" t="s">
        <v>4158</v>
      </c>
      <c r="F713" t="s">
        <v>4449</v>
      </c>
      <c r="G713" t="s">
        <v>4450</v>
      </c>
      <c r="H713" t="str">
        <f>INDEX([1]妻子表!$A:$A,MATCH(F713,[1]妻子表!$B:$B,0))</f>
        <v>ZA0046W01</v>
      </c>
      <c r="I713" t="str">
        <f>VLOOKUP(H713,[1]妻子表!$A:$D,4,0)</f>
        <v>刘氏</v>
      </c>
      <c r="J713" t="s">
        <v>4159</v>
      </c>
      <c r="K713" t="s">
        <v>4611</v>
      </c>
      <c r="L713" t="s">
        <v>4452</v>
      </c>
      <c r="M713" t="s">
        <v>4612</v>
      </c>
      <c r="N713" t="s">
        <v>1096</v>
      </c>
      <c r="O713" t="s">
        <v>4613</v>
      </c>
      <c r="P713" t="s">
        <v>240</v>
      </c>
      <c r="Q713" t="s">
        <v>4614</v>
      </c>
      <c r="R713" t="s">
        <v>2910</v>
      </c>
      <c r="S713" t="s">
        <v>4615</v>
      </c>
      <c r="T713" s="2" t="s">
        <v>4616</v>
      </c>
      <c r="U713" t="s">
        <v>174</v>
      </c>
      <c r="AA713" t="s">
        <v>4617</v>
      </c>
    </row>
    <row r="714" spans="1:27" x14ac:dyDescent="0.25">
      <c r="A714" t="s">
        <v>4618</v>
      </c>
      <c r="B714" t="s">
        <v>4619</v>
      </c>
      <c r="C714" t="s">
        <v>29</v>
      </c>
      <c r="D714" t="s">
        <v>761</v>
      </c>
      <c r="E714" t="s">
        <v>4158</v>
      </c>
      <c r="F714" t="s">
        <v>4449</v>
      </c>
      <c r="G714" t="s">
        <v>4450</v>
      </c>
      <c r="H714" t="str">
        <f>INDEX([1]妻子表!$A:$A,MATCH(F714,[1]妻子表!$B:$B,0))</f>
        <v>ZA0046W01</v>
      </c>
      <c r="I714" t="str">
        <f>VLOOKUP(H714,[1]妻子表!$A:$D,4,0)</f>
        <v>刘氏</v>
      </c>
      <c r="J714" t="s">
        <v>4159</v>
      </c>
      <c r="M714" t="s">
        <v>4620</v>
      </c>
      <c r="N714" t="s">
        <v>1292</v>
      </c>
      <c r="O714" t="s">
        <v>4621</v>
      </c>
      <c r="P714" t="s">
        <v>169</v>
      </c>
      <c r="T714" s="2" t="s">
        <v>4622</v>
      </c>
      <c r="U714" t="s">
        <v>174</v>
      </c>
      <c r="AA714" t="s">
        <v>4623</v>
      </c>
    </row>
    <row r="715" spans="1:27" x14ac:dyDescent="0.25">
      <c r="A715" t="s">
        <v>4624</v>
      </c>
      <c r="B715" t="s">
        <v>4625</v>
      </c>
      <c r="C715" t="s">
        <v>29</v>
      </c>
      <c r="D715" t="s">
        <v>1085</v>
      </c>
      <c r="E715" t="s">
        <v>4158</v>
      </c>
      <c r="F715" t="s">
        <v>4467</v>
      </c>
      <c r="G715" t="s">
        <v>4468</v>
      </c>
      <c r="H715" t="str">
        <f>INDEX([1]妻子表!$A:$A,MATCH(F715,[1]妻子表!$B:$B,0))</f>
        <v>ZA0048W01</v>
      </c>
      <c r="I715" t="str">
        <f>VLOOKUP(H715,[1]妻子表!$A:$D,4,0)</f>
        <v>贺氏</v>
      </c>
      <c r="J715" t="s">
        <v>4159</v>
      </c>
      <c r="K715" t="s">
        <v>4626</v>
      </c>
      <c r="L715" t="s">
        <v>4247</v>
      </c>
      <c r="M715" t="s">
        <v>4627</v>
      </c>
      <c r="N715" t="s">
        <v>4628</v>
      </c>
      <c r="O715" t="s">
        <v>4629</v>
      </c>
      <c r="P715" t="s">
        <v>458</v>
      </c>
      <c r="Q715" t="s">
        <v>4630</v>
      </c>
      <c r="R715" t="s">
        <v>1725</v>
      </c>
      <c r="S715" t="s">
        <v>4631</v>
      </c>
      <c r="T715" s="2" t="s">
        <v>4632</v>
      </c>
      <c r="U715" t="s">
        <v>942</v>
      </c>
      <c r="AA715" t="s">
        <v>4633</v>
      </c>
    </row>
    <row r="716" spans="1:27" x14ac:dyDescent="0.25">
      <c r="A716" t="s">
        <v>4634</v>
      </c>
      <c r="B716" t="s">
        <v>4635</v>
      </c>
      <c r="C716" t="s">
        <v>29</v>
      </c>
      <c r="D716" t="s">
        <v>1085</v>
      </c>
      <c r="E716" t="s">
        <v>4158</v>
      </c>
      <c r="F716" t="s">
        <v>4467</v>
      </c>
      <c r="G716" t="s">
        <v>4468</v>
      </c>
      <c r="H716" t="str">
        <f>INDEX([1]妻子表!$A:$A,MATCH(F716,[1]妻子表!$B:$B,0))</f>
        <v>ZA0048W01</v>
      </c>
      <c r="I716" t="str">
        <f>VLOOKUP(H716,[1]妻子表!$A:$D,4,0)</f>
        <v>贺氏</v>
      </c>
      <c r="J716" t="s">
        <v>4159</v>
      </c>
      <c r="K716" t="s">
        <v>4636</v>
      </c>
      <c r="Q716" t="s">
        <v>4637</v>
      </c>
      <c r="R716" t="s">
        <v>1438</v>
      </c>
      <c r="S716" t="s">
        <v>4638</v>
      </c>
      <c r="T716" s="2" t="s">
        <v>4639</v>
      </c>
      <c r="U716" t="s">
        <v>4640</v>
      </c>
      <c r="AA716" t="s">
        <v>4641</v>
      </c>
    </row>
    <row r="717" spans="1:27" x14ac:dyDescent="0.25">
      <c r="A717" t="s">
        <v>4642</v>
      </c>
      <c r="B717" t="s">
        <v>4643</v>
      </c>
      <c r="C717" t="s">
        <v>29</v>
      </c>
      <c r="D717" t="s">
        <v>1085</v>
      </c>
      <c r="E717" t="s">
        <v>4158</v>
      </c>
      <c r="F717" t="s">
        <v>4478</v>
      </c>
      <c r="G717" t="s">
        <v>4479</v>
      </c>
      <c r="H717" t="str">
        <f>INDEX([1]妻子表!$A:$A,MATCH(F717,[1]妻子表!$B:$B,0))</f>
        <v>ZA0050W01</v>
      </c>
      <c r="I717" t="str">
        <f>VLOOKUP(H717,[1]妻子表!$A:$D,4,0)</f>
        <v>肖氏</v>
      </c>
      <c r="J717" t="s">
        <v>4159</v>
      </c>
      <c r="AA717" t="s">
        <v>4644</v>
      </c>
    </row>
    <row r="718" spans="1:27" x14ac:dyDescent="0.25">
      <c r="A718" t="s">
        <v>4645</v>
      </c>
      <c r="B718" t="s">
        <v>4646</v>
      </c>
      <c r="C718" t="s">
        <v>29</v>
      </c>
      <c r="D718" t="s">
        <v>1085</v>
      </c>
      <c r="E718" t="s">
        <v>4158</v>
      </c>
      <c r="F718" t="s">
        <v>4487</v>
      </c>
      <c r="G718" t="s">
        <v>4488</v>
      </c>
      <c r="H718" t="str">
        <f>INDEX([1]妻子表!$A:$A,MATCH(F718,[1]妻子表!$B:$B,0))</f>
        <v>ZA0051W01</v>
      </c>
      <c r="I718" t="str">
        <f>VLOOKUP(H718,[1]妻子表!$A:$D,4,0)</f>
        <v>彭氏</v>
      </c>
      <c r="J718" t="s">
        <v>4159</v>
      </c>
      <c r="AA718" t="s">
        <v>4647</v>
      </c>
    </row>
    <row r="719" spans="1:27" x14ac:dyDescent="0.25">
      <c r="A719" t="s">
        <v>4648</v>
      </c>
      <c r="B719" t="s">
        <v>4649</v>
      </c>
      <c r="C719" t="s">
        <v>29</v>
      </c>
      <c r="D719" t="s">
        <v>1085</v>
      </c>
      <c r="E719" t="s">
        <v>4158</v>
      </c>
      <c r="F719" t="s">
        <v>4487</v>
      </c>
      <c r="G719" t="s">
        <v>4488</v>
      </c>
      <c r="H719" t="str">
        <f>INDEX([1]妻子表!$A:$A,MATCH(F719,[1]妻子表!$B:$B,0))</f>
        <v>ZA0051W01</v>
      </c>
      <c r="I719" t="str">
        <f>VLOOKUP(H719,[1]妻子表!$A:$D,4,0)</f>
        <v>彭氏</v>
      </c>
      <c r="J719" t="s">
        <v>4159</v>
      </c>
      <c r="AA719" t="s">
        <v>4650</v>
      </c>
    </row>
    <row r="720" spans="1:27" x14ac:dyDescent="0.25">
      <c r="A720" t="s">
        <v>4651</v>
      </c>
      <c r="B720" t="s">
        <v>4652</v>
      </c>
      <c r="C720" t="s">
        <v>29</v>
      </c>
      <c r="D720" t="s">
        <v>1085</v>
      </c>
      <c r="E720" t="s">
        <v>4158</v>
      </c>
      <c r="F720" t="s">
        <v>4504</v>
      </c>
      <c r="G720" t="s">
        <v>4505</v>
      </c>
      <c r="J720" t="s">
        <v>4159</v>
      </c>
      <c r="AA720" t="s">
        <v>4653</v>
      </c>
    </row>
    <row r="721" spans="1:27" x14ac:dyDescent="0.25">
      <c r="A721" t="s">
        <v>4654</v>
      </c>
      <c r="B721" t="s">
        <v>4655</v>
      </c>
      <c r="C721" t="s">
        <v>29</v>
      </c>
      <c r="D721" t="s">
        <v>1085</v>
      </c>
      <c r="E721" t="s">
        <v>4158</v>
      </c>
      <c r="F721" t="s">
        <v>4504</v>
      </c>
      <c r="G721" t="s">
        <v>4505</v>
      </c>
      <c r="J721" t="s">
        <v>4159</v>
      </c>
      <c r="AA721" t="s">
        <v>4656</v>
      </c>
    </row>
    <row r="722" spans="1:27" x14ac:dyDescent="0.25">
      <c r="A722" t="s">
        <v>4657</v>
      </c>
      <c r="B722" t="s">
        <v>4658</v>
      </c>
      <c r="C722" t="s">
        <v>29</v>
      </c>
      <c r="D722" t="s">
        <v>1085</v>
      </c>
      <c r="E722" t="s">
        <v>4158</v>
      </c>
      <c r="F722" t="s">
        <v>4511</v>
      </c>
      <c r="G722" t="s">
        <v>4512</v>
      </c>
      <c r="H722" t="str">
        <f>INDEX([1]妻子表!$A:$A,MATCH(F722,[1]妻子表!$B:$B,0))</f>
        <v>ZA0056W01</v>
      </c>
      <c r="I722" t="str">
        <f>VLOOKUP(H722,[1]妻子表!$A:$D,4,0)</f>
        <v>彭氏</v>
      </c>
      <c r="J722" t="s">
        <v>4159</v>
      </c>
      <c r="AA722" t="s">
        <v>4659</v>
      </c>
    </row>
    <row r="723" spans="1:27" x14ac:dyDescent="0.25">
      <c r="A723" t="s">
        <v>4660</v>
      </c>
      <c r="B723" t="s">
        <v>4661</v>
      </c>
      <c r="C723" t="s">
        <v>29</v>
      </c>
      <c r="D723" t="s">
        <v>1085</v>
      </c>
      <c r="E723" t="s">
        <v>4158</v>
      </c>
      <c r="F723" t="s">
        <v>4511</v>
      </c>
      <c r="G723" t="s">
        <v>4512</v>
      </c>
      <c r="H723" t="str">
        <f>INDEX([1]妻子表!$A:$A,MATCH(F723,[1]妻子表!$B:$B,0))</f>
        <v>ZA0056W01</v>
      </c>
      <c r="I723" t="str">
        <f>VLOOKUP(H723,[1]妻子表!$A:$D,4,0)</f>
        <v>彭氏</v>
      </c>
      <c r="J723" t="s">
        <v>4159</v>
      </c>
      <c r="AA723" t="s">
        <v>4662</v>
      </c>
    </row>
    <row r="724" spans="1:27" x14ac:dyDescent="0.25">
      <c r="A724" t="s">
        <v>4663</v>
      </c>
      <c r="B724" t="s">
        <v>4664</v>
      </c>
      <c r="C724" t="s">
        <v>29</v>
      </c>
      <c r="D724" t="s">
        <v>1085</v>
      </c>
      <c r="E724" t="s">
        <v>4158</v>
      </c>
      <c r="F724" t="s">
        <v>4525</v>
      </c>
      <c r="G724" t="s">
        <v>4526</v>
      </c>
      <c r="H724" t="str">
        <f>INDEX([1]妻子表!$A:$A,MATCH(F724,[1]妻子表!$B:$B,0))</f>
        <v>ZA0058W01</v>
      </c>
      <c r="I724" t="str">
        <f>VLOOKUP(H724,[1]妻子表!$A:$D,4,0)</f>
        <v>某氏</v>
      </c>
      <c r="J724" t="s">
        <v>4159</v>
      </c>
      <c r="AA724" t="s">
        <v>4665</v>
      </c>
    </row>
    <row r="725" spans="1:27" x14ac:dyDescent="0.25">
      <c r="A725" t="s">
        <v>4666</v>
      </c>
      <c r="B725" t="s">
        <v>4667</v>
      </c>
      <c r="C725" t="s">
        <v>29</v>
      </c>
      <c r="D725" t="s">
        <v>1085</v>
      </c>
      <c r="E725" t="s">
        <v>4158</v>
      </c>
      <c r="F725" t="s">
        <v>4534</v>
      </c>
      <c r="G725" t="s">
        <v>4535</v>
      </c>
      <c r="H725" t="str">
        <f>INDEX([1]妻子表!$A:$A,MATCH(F725,[1]妻子表!$B:$B,0))</f>
        <v>ZA0059W01</v>
      </c>
      <c r="I725" t="str">
        <f>VLOOKUP(H725,[1]妻子表!$A:$D,4,0)</f>
        <v>刘氏</v>
      </c>
      <c r="J725" t="s">
        <v>4159</v>
      </c>
      <c r="K725" t="s">
        <v>1138</v>
      </c>
      <c r="L725" t="s">
        <v>737</v>
      </c>
      <c r="M725" t="s">
        <v>4668</v>
      </c>
      <c r="N725" t="s">
        <v>730</v>
      </c>
      <c r="O725" t="s">
        <v>4669</v>
      </c>
      <c r="P725" t="s">
        <v>200</v>
      </c>
      <c r="Q725" t="s">
        <v>4670</v>
      </c>
      <c r="R725" t="s">
        <v>962</v>
      </c>
      <c r="S725" t="s">
        <v>4671</v>
      </c>
      <c r="AA725" t="s">
        <v>4672</v>
      </c>
    </row>
    <row r="726" spans="1:27" x14ac:dyDescent="0.25">
      <c r="A726" t="s">
        <v>4673</v>
      </c>
      <c r="B726" t="s">
        <v>4674</v>
      </c>
      <c r="C726" t="s">
        <v>29</v>
      </c>
      <c r="D726" t="s">
        <v>1085</v>
      </c>
      <c r="E726" t="s">
        <v>4158</v>
      </c>
      <c r="F726" t="s">
        <v>4534</v>
      </c>
      <c r="G726" t="s">
        <v>4535</v>
      </c>
      <c r="H726" t="str">
        <f>INDEX([1]妻子表!$A:$A,MATCH(F726,[1]妻子表!$B:$B,0))</f>
        <v>ZA0059W01</v>
      </c>
      <c r="I726" t="str">
        <f>VLOOKUP(H726,[1]妻子表!$A:$D,4,0)</f>
        <v>刘氏</v>
      </c>
      <c r="J726" t="s">
        <v>4159</v>
      </c>
      <c r="K726" t="s">
        <v>4675</v>
      </c>
      <c r="M726" t="s">
        <v>4676</v>
      </c>
      <c r="N726" t="s">
        <v>1390</v>
      </c>
      <c r="O726" t="s">
        <v>4677</v>
      </c>
      <c r="P726" t="s">
        <v>224</v>
      </c>
      <c r="T726" s="2" t="s">
        <v>4678</v>
      </c>
      <c r="U726" t="s">
        <v>882</v>
      </c>
      <c r="AA726" t="s">
        <v>4679</v>
      </c>
    </row>
    <row r="727" spans="1:27" x14ac:dyDescent="0.25">
      <c r="A727" t="s">
        <v>4680</v>
      </c>
      <c r="B727" t="s">
        <v>4681</v>
      </c>
      <c r="C727" t="s">
        <v>29</v>
      </c>
      <c r="D727" t="s">
        <v>1085</v>
      </c>
      <c r="E727" t="s">
        <v>4158</v>
      </c>
      <c r="F727" t="s">
        <v>4543</v>
      </c>
      <c r="G727" t="s">
        <v>4544</v>
      </c>
      <c r="H727" t="str">
        <f>INDEX([1]妻子表!$A:$A,MATCH(F727,[1]妻子表!$B:$B,0))</f>
        <v>ZA0060W01</v>
      </c>
      <c r="I727" t="str">
        <f>VLOOKUP(H727,[1]妻子表!$A:$D,4,0)</f>
        <v>刘氏</v>
      </c>
      <c r="J727" t="s">
        <v>4159</v>
      </c>
      <c r="K727" t="s">
        <v>4682</v>
      </c>
      <c r="L727" t="s">
        <v>696</v>
      </c>
      <c r="M727" t="s">
        <v>4683</v>
      </c>
      <c r="N727" t="s">
        <v>632</v>
      </c>
      <c r="O727" t="s">
        <v>4684</v>
      </c>
      <c r="P727" t="s">
        <v>184</v>
      </c>
      <c r="Q727" t="s">
        <v>4685</v>
      </c>
      <c r="R727" t="s">
        <v>1803</v>
      </c>
      <c r="S727" t="s">
        <v>4686</v>
      </c>
      <c r="T727" s="2" t="s">
        <v>4687</v>
      </c>
      <c r="U727" t="s">
        <v>174</v>
      </c>
      <c r="AA727" t="s">
        <v>4688</v>
      </c>
    </row>
    <row r="728" spans="1:27" x14ac:dyDescent="0.25">
      <c r="A728" t="s">
        <v>4689</v>
      </c>
      <c r="B728" t="s">
        <v>4690</v>
      </c>
      <c r="C728" t="s">
        <v>29</v>
      </c>
      <c r="D728" t="s">
        <v>1085</v>
      </c>
      <c r="E728" t="s">
        <v>4158</v>
      </c>
      <c r="F728" t="s">
        <v>4543</v>
      </c>
      <c r="G728" t="s">
        <v>4544</v>
      </c>
      <c r="H728" t="str">
        <f>INDEX([1]妻子表!$A:$A,MATCH(F728,[1]妻子表!$B:$B,0))</f>
        <v>ZA0060W01</v>
      </c>
      <c r="I728" t="str">
        <f>VLOOKUP(H728,[1]妻子表!$A:$D,4,0)</f>
        <v>刘氏</v>
      </c>
      <c r="J728" t="s">
        <v>4159</v>
      </c>
      <c r="L728" t="s">
        <v>493</v>
      </c>
      <c r="M728" t="s">
        <v>4691</v>
      </c>
      <c r="N728" t="s">
        <v>4692</v>
      </c>
      <c r="O728" t="s">
        <v>4693</v>
      </c>
      <c r="P728" t="s">
        <v>497</v>
      </c>
      <c r="Q728" t="s">
        <v>4694</v>
      </c>
      <c r="R728" t="s">
        <v>912</v>
      </c>
      <c r="S728" t="s">
        <v>4695</v>
      </c>
      <c r="T728" s="2" t="s">
        <v>4696</v>
      </c>
      <c r="U728" t="s">
        <v>174</v>
      </c>
      <c r="AA728" t="s">
        <v>4697</v>
      </c>
    </row>
    <row r="729" spans="1:27" x14ac:dyDescent="0.25">
      <c r="A729" t="s">
        <v>4698</v>
      </c>
      <c r="B729" t="s">
        <v>4699</v>
      </c>
      <c r="C729" t="s">
        <v>29</v>
      </c>
      <c r="D729" t="s">
        <v>1085</v>
      </c>
      <c r="E729" t="s">
        <v>4158</v>
      </c>
      <c r="F729" t="s">
        <v>4558</v>
      </c>
      <c r="G729" t="s">
        <v>4559</v>
      </c>
      <c r="H729" t="str">
        <f>INDEX([1]妻子表!$A:$A,MATCH(F729,[1]妻子表!$B:$B,0))</f>
        <v>ZA0062W01</v>
      </c>
      <c r="I729" t="str">
        <f>VLOOKUP(H729,[1]妻子表!$A:$D,4,0)</f>
        <v>朱氏</v>
      </c>
      <c r="J729" t="s">
        <v>4159</v>
      </c>
      <c r="K729" t="s">
        <v>4560</v>
      </c>
      <c r="L729" t="s">
        <v>180</v>
      </c>
      <c r="M729" t="s">
        <v>789</v>
      </c>
      <c r="N729" t="s">
        <v>790</v>
      </c>
      <c r="O729" t="s">
        <v>791</v>
      </c>
      <c r="P729" t="s">
        <v>407</v>
      </c>
      <c r="Q729" t="s">
        <v>4700</v>
      </c>
      <c r="R729" t="s">
        <v>1266</v>
      </c>
      <c r="S729" t="s">
        <v>4701</v>
      </c>
      <c r="T729" s="2" t="s">
        <v>4702</v>
      </c>
      <c r="U729" t="s">
        <v>38</v>
      </c>
      <c r="AA729" t="s">
        <v>4703</v>
      </c>
    </row>
    <row r="730" spans="1:27" x14ac:dyDescent="0.25">
      <c r="A730" t="s">
        <v>4704</v>
      </c>
      <c r="B730" t="s">
        <v>4705</v>
      </c>
      <c r="C730" t="s">
        <v>29</v>
      </c>
      <c r="D730" t="s">
        <v>1085</v>
      </c>
      <c r="E730" t="s">
        <v>4158</v>
      </c>
      <c r="F730" t="s">
        <v>4558</v>
      </c>
      <c r="G730" t="s">
        <v>4559</v>
      </c>
      <c r="H730" t="str">
        <f>INDEX([1]妻子表!$A:$A,MATCH(F730,[1]妻子表!$B:$B,0))</f>
        <v>ZA0062W01</v>
      </c>
      <c r="I730" t="str">
        <f>VLOOKUP(H730,[1]妻子表!$A:$D,4,0)</f>
        <v>朱氏</v>
      </c>
      <c r="J730" t="s">
        <v>4159</v>
      </c>
      <c r="K730" t="s">
        <v>4706</v>
      </c>
      <c r="L730" t="s">
        <v>570</v>
      </c>
      <c r="M730" t="s">
        <v>4707</v>
      </c>
      <c r="N730" t="s">
        <v>898</v>
      </c>
      <c r="O730" t="s">
        <v>4708</v>
      </c>
      <c r="P730" t="s">
        <v>257</v>
      </c>
      <c r="Q730" t="s">
        <v>4709</v>
      </c>
      <c r="R730" t="s">
        <v>2248</v>
      </c>
      <c r="S730" t="s">
        <v>4710</v>
      </c>
      <c r="T730" s="2" t="s">
        <v>4711</v>
      </c>
      <c r="U730" t="s">
        <v>882</v>
      </c>
      <c r="AA730" t="s">
        <v>4712</v>
      </c>
    </row>
    <row r="731" spans="1:27" x14ac:dyDescent="0.25">
      <c r="A731" t="s">
        <v>4713</v>
      </c>
      <c r="B731" t="s">
        <v>4714</v>
      </c>
      <c r="C731" t="s">
        <v>29</v>
      </c>
      <c r="D731" t="s">
        <v>1085</v>
      </c>
      <c r="E731" t="s">
        <v>4158</v>
      </c>
      <c r="F731" t="s">
        <v>4558</v>
      </c>
      <c r="G731" t="s">
        <v>4559</v>
      </c>
      <c r="H731" t="str">
        <f>INDEX([1]妻子表!$A:$A,MATCH(F731,[1]妻子表!$B:$B,0))</f>
        <v>ZA0062W01</v>
      </c>
      <c r="I731" t="str">
        <f>VLOOKUP(H731,[1]妻子表!$A:$D,4,0)</f>
        <v>朱氏</v>
      </c>
      <c r="J731" t="s">
        <v>4159</v>
      </c>
      <c r="K731" t="s">
        <v>4715</v>
      </c>
      <c r="L731" t="s">
        <v>1656</v>
      </c>
      <c r="M731" t="s">
        <v>4716</v>
      </c>
      <c r="N731" t="s">
        <v>1598</v>
      </c>
      <c r="O731" t="s">
        <v>4717</v>
      </c>
      <c r="P731" t="s">
        <v>240</v>
      </c>
      <c r="Q731" t="s">
        <v>4718</v>
      </c>
      <c r="R731" t="s">
        <v>1047</v>
      </c>
      <c r="S731" t="s">
        <v>4719</v>
      </c>
      <c r="T731" s="2" t="s">
        <v>4720</v>
      </c>
      <c r="U731" t="s">
        <v>882</v>
      </c>
      <c r="AA731" t="s">
        <v>4721</v>
      </c>
    </row>
    <row r="732" spans="1:27" x14ac:dyDescent="0.25">
      <c r="A732" t="s">
        <v>4722</v>
      </c>
      <c r="B732" t="s">
        <v>4723</v>
      </c>
      <c r="C732" t="s">
        <v>29</v>
      </c>
      <c r="D732" t="s">
        <v>1085</v>
      </c>
      <c r="E732" t="s">
        <v>4158</v>
      </c>
      <c r="F732" t="s">
        <v>4568</v>
      </c>
      <c r="G732" t="s">
        <v>4569</v>
      </c>
      <c r="H732" t="str">
        <f>INDEX([1]妻子表!$A:$A,MATCH(F732,[1]妻子表!$B:$B,0))</f>
        <v>ZA0063W01</v>
      </c>
      <c r="I732" t="str">
        <f>VLOOKUP(H732,[1]妻子表!$A:$D,4,0)</f>
        <v>杨氏</v>
      </c>
      <c r="J732" t="s">
        <v>4159</v>
      </c>
      <c r="K732" t="s">
        <v>4724</v>
      </c>
      <c r="M732" t="s">
        <v>4725</v>
      </c>
      <c r="N732" t="s">
        <v>875</v>
      </c>
      <c r="O732" t="s">
        <v>4726</v>
      </c>
      <c r="P732" t="s">
        <v>497</v>
      </c>
      <c r="T732" s="2" t="s">
        <v>4727</v>
      </c>
      <c r="U732" t="s">
        <v>215</v>
      </c>
      <c r="AA732" t="s">
        <v>4728</v>
      </c>
    </row>
    <row r="733" spans="1:27" x14ac:dyDescent="0.25">
      <c r="A733" t="s">
        <v>4729</v>
      </c>
      <c r="B733" t="s">
        <v>4730</v>
      </c>
      <c r="C733" t="s">
        <v>29</v>
      </c>
      <c r="D733" t="s">
        <v>1085</v>
      </c>
      <c r="E733" t="s">
        <v>4158</v>
      </c>
      <c r="F733" t="s">
        <v>4568</v>
      </c>
      <c r="G733" t="s">
        <v>4569</v>
      </c>
      <c r="H733" t="str">
        <f>INDEX([1]妻子表!$A:$A,MATCH(F733,[1]妻子表!$B:$B,0))</f>
        <v>ZA0063W01</v>
      </c>
      <c r="I733" t="str">
        <f>VLOOKUP(H733,[1]妻子表!$A:$D,4,0)</f>
        <v>杨氏</v>
      </c>
      <c r="J733" t="s">
        <v>4159</v>
      </c>
      <c r="L733" t="s">
        <v>403</v>
      </c>
      <c r="M733" t="s">
        <v>4731</v>
      </c>
      <c r="N733" t="s">
        <v>1340</v>
      </c>
      <c r="O733" t="s">
        <v>4732</v>
      </c>
      <c r="P733" t="s">
        <v>224</v>
      </c>
      <c r="Q733" t="s">
        <v>4733</v>
      </c>
      <c r="R733" t="s">
        <v>2811</v>
      </c>
      <c r="S733" t="s">
        <v>4734</v>
      </c>
      <c r="T733" s="2" t="s">
        <v>4735</v>
      </c>
      <c r="U733" t="s">
        <v>174</v>
      </c>
      <c r="AA733" t="s">
        <v>4736</v>
      </c>
    </row>
    <row r="734" spans="1:27" x14ac:dyDescent="0.25">
      <c r="A734" t="s">
        <v>4737</v>
      </c>
      <c r="B734" t="s">
        <v>4738</v>
      </c>
      <c r="C734" t="s">
        <v>29</v>
      </c>
      <c r="D734" t="s">
        <v>1085</v>
      </c>
      <c r="E734" t="s">
        <v>4158</v>
      </c>
      <c r="F734" t="s">
        <v>4576</v>
      </c>
      <c r="G734" t="s">
        <v>4577</v>
      </c>
      <c r="H734" t="str">
        <f>INDEX([1]妻子表!$A:$A,MATCH(F734,[1]妻子表!$B:$B,0))</f>
        <v>ZA0064W01</v>
      </c>
      <c r="I734" t="str">
        <f>VLOOKUP(H734,[1]妻子表!$A:$D,4,0)</f>
        <v>周氏</v>
      </c>
      <c r="J734" t="s">
        <v>4159</v>
      </c>
      <c r="K734" t="s">
        <v>4545</v>
      </c>
      <c r="L734" t="s">
        <v>825</v>
      </c>
      <c r="M734" t="s">
        <v>4739</v>
      </c>
      <c r="N734" t="s">
        <v>1456</v>
      </c>
      <c r="O734" t="s">
        <v>4740</v>
      </c>
      <c r="P734" t="s">
        <v>184</v>
      </c>
      <c r="Q734" t="s">
        <v>4741</v>
      </c>
      <c r="R734" t="s">
        <v>1252</v>
      </c>
      <c r="S734" t="s">
        <v>4742</v>
      </c>
      <c r="T734" s="2" t="s">
        <v>4743</v>
      </c>
      <c r="U734" t="s">
        <v>95</v>
      </c>
      <c r="AA734" t="s">
        <v>4744</v>
      </c>
    </row>
    <row r="735" spans="1:27" x14ac:dyDescent="0.25">
      <c r="A735" t="s">
        <v>4745</v>
      </c>
      <c r="B735" t="s">
        <v>4746</v>
      </c>
      <c r="C735" t="s">
        <v>29</v>
      </c>
      <c r="D735" t="s">
        <v>1085</v>
      </c>
      <c r="E735" t="s">
        <v>4158</v>
      </c>
      <c r="F735" t="s">
        <v>4591</v>
      </c>
      <c r="G735" t="s">
        <v>4592</v>
      </c>
      <c r="H735" t="str">
        <f>INDEX([1]妻子表!$A:$A,MATCH(F735,[1]妻子表!$B:$B,0))</f>
        <v>ZA0066W01</v>
      </c>
      <c r="I735" t="str">
        <f>VLOOKUP(H735,[1]妻子表!$A:$D,4,0)</f>
        <v>刘氏</v>
      </c>
      <c r="J735" t="s">
        <v>4159</v>
      </c>
      <c r="K735" t="s">
        <v>4747</v>
      </c>
      <c r="L735" t="s">
        <v>1328</v>
      </c>
      <c r="M735" t="s">
        <v>4748</v>
      </c>
      <c r="N735" t="s">
        <v>787</v>
      </c>
      <c r="O735" t="s">
        <v>4749</v>
      </c>
      <c r="P735" t="s">
        <v>458</v>
      </c>
      <c r="Q735" t="s">
        <v>4750</v>
      </c>
      <c r="R735" t="s">
        <v>1343</v>
      </c>
      <c r="S735" t="s">
        <v>4751</v>
      </c>
      <c r="T735" s="2" t="s">
        <v>4752</v>
      </c>
      <c r="U735" t="s">
        <v>275</v>
      </c>
      <c r="AA735" t="s">
        <v>4753</v>
      </c>
    </row>
    <row r="736" spans="1:27" x14ac:dyDescent="0.25">
      <c r="A736" t="s">
        <v>4754</v>
      </c>
      <c r="B736" t="s">
        <v>4755</v>
      </c>
      <c r="C736" t="s">
        <v>29</v>
      </c>
      <c r="D736" t="s">
        <v>1085</v>
      </c>
      <c r="E736" t="s">
        <v>4158</v>
      </c>
      <c r="F736" t="s">
        <v>4591</v>
      </c>
      <c r="G736" t="s">
        <v>4592</v>
      </c>
      <c r="H736" t="str">
        <f>INDEX([1]妻子表!$A:$A,MATCH(F736,[1]妻子表!$B:$B,0))</f>
        <v>ZA0066W01</v>
      </c>
      <c r="I736" t="str">
        <f>VLOOKUP(H736,[1]妻子表!$A:$D,4,0)</f>
        <v>刘氏</v>
      </c>
      <c r="J736" t="s">
        <v>4159</v>
      </c>
      <c r="K736" t="s">
        <v>4756</v>
      </c>
      <c r="L736" t="s">
        <v>570</v>
      </c>
      <c r="M736" t="s">
        <v>4757</v>
      </c>
      <c r="N736" t="s">
        <v>1390</v>
      </c>
      <c r="O736" t="s">
        <v>4758</v>
      </c>
      <c r="P736" t="s">
        <v>224</v>
      </c>
      <c r="Q736" t="s">
        <v>4759</v>
      </c>
      <c r="R736" t="s">
        <v>1754</v>
      </c>
      <c r="S736" t="s">
        <v>4760</v>
      </c>
      <c r="T736" s="2" t="s">
        <v>4761</v>
      </c>
      <c r="U736" t="s">
        <v>174</v>
      </c>
      <c r="AA736" t="s">
        <v>4762</v>
      </c>
    </row>
    <row r="737" spans="1:27" x14ac:dyDescent="0.25">
      <c r="A737" t="s">
        <v>4763</v>
      </c>
      <c r="B737" t="s">
        <v>4764</v>
      </c>
      <c r="C737" t="s">
        <v>29</v>
      </c>
      <c r="D737" t="s">
        <v>1085</v>
      </c>
      <c r="E737" t="s">
        <v>4158</v>
      </c>
      <c r="F737" t="s">
        <v>4591</v>
      </c>
      <c r="G737" t="s">
        <v>4592</v>
      </c>
      <c r="H737" t="str">
        <f>INDEX([1]妻子表!$A:$A,MATCH(F737,[1]妻子表!$B:$B,0))</f>
        <v>ZA0066W01</v>
      </c>
      <c r="I737" t="str">
        <f>VLOOKUP(H737,[1]妻子表!$A:$D,4,0)</f>
        <v>刘氏</v>
      </c>
      <c r="J737" t="s">
        <v>4159</v>
      </c>
      <c r="K737" t="s">
        <v>4747</v>
      </c>
      <c r="L737" t="s">
        <v>725</v>
      </c>
      <c r="M737" t="s">
        <v>4765</v>
      </c>
      <c r="N737" t="s">
        <v>1003</v>
      </c>
      <c r="O737" t="s">
        <v>4766</v>
      </c>
      <c r="P737" t="s">
        <v>108</v>
      </c>
      <c r="Q737" t="s">
        <v>4767</v>
      </c>
      <c r="R737" t="s">
        <v>2162</v>
      </c>
      <c r="S737" t="s">
        <v>4768</v>
      </c>
      <c r="T737" s="2" t="s">
        <v>4769</v>
      </c>
      <c r="U737" t="s">
        <v>174</v>
      </c>
      <c r="AA737" t="s">
        <v>4770</v>
      </c>
    </row>
    <row r="738" spans="1:27" x14ac:dyDescent="0.25">
      <c r="A738" t="s">
        <v>4771</v>
      </c>
      <c r="B738" t="s">
        <v>4772</v>
      </c>
      <c r="C738" t="s">
        <v>29</v>
      </c>
      <c r="D738" t="s">
        <v>1085</v>
      </c>
      <c r="E738" t="s">
        <v>4158</v>
      </c>
      <c r="F738" t="s">
        <v>4591</v>
      </c>
      <c r="G738" t="s">
        <v>4592</v>
      </c>
      <c r="H738" t="str">
        <f>INDEX([1]妻子表!$A:$A,MATCH(F738,[1]妻子表!$B:$B,0))</f>
        <v>ZA0066W01</v>
      </c>
      <c r="I738" t="str">
        <f>VLOOKUP(H738,[1]妻子表!$A:$D,4,0)</f>
        <v>刘氏</v>
      </c>
      <c r="J738" t="s">
        <v>4159</v>
      </c>
      <c r="K738" t="s">
        <v>4747</v>
      </c>
      <c r="L738" t="s">
        <v>311</v>
      </c>
      <c r="M738" t="s">
        <v>4773</v>
      </c>
      <c r="N738" t="s">
        <v>1837</v>
      </c>
      <c r="O738" t="s">
        <v>4774</v>
      </c>
      <c r="P738" t="s">
        <v>601</v>
      </c>
      <c r="Q738" t="s">
        <v>4775</v>
      </c>
      <c r="R738" t="s">
        <v>1868</v>
      </c>
      <c r="S738" t="s">
        <v>4776</v>
      </c>
      <c r="T738" s="2" t="s">
        <v>4777</v>
      </c>
      <c r="U738" t="s">
        <v>4778</v>
      </c>
      <c r="AA738" t="s">
        <v>4779</v>
      </c>
    </row>
    <row r="739" spans="1:27" ht="31.5" customHeight="1" x14ac:dyDescent="0.25">
      <c r="A739" t="s">
        <v>4780</v>
      </c>
      <c r="B739" t="s">
        <v>4781</v>
      </c>
      <c r="C739" t="s">
        <v>29</v>
      </c>
      <c r="D739" t="s">
        <v>1085</v>
      </c>
      <c r="E739" t="s">
        <v>4158</v>
      </c>
      <c r="F739" t="s">
        <v>4591</v>
      </c>
      <c r="G739" t="s">
        <v>4592</v>
      </c>
      <c r="H739" t="str">
        <f>INDEX([1]妻子表!$A:$A,MATCH(F739,[1]妻子表!$B:$B,0))</f>
        <v>ZA0066W01</v>
      </c>
      <c r="I739" t="str">
        <f>VLOOKUP(H739,[1]妻子表!$A:$D,4,0)</f>
        <v>刘氏</v>
      </c>
      <c r="J739" t="s">
        <v>4159</v>
      </c>
      <c r="K739" t="s">
        <v>4782</v>
      </c>
      <c r="L739" t="s">
        <v>165</v>
      </c>
      <c r="M739" t="s">
        <v>4783</v>
      </c>
      <c r="N739" t="s">
        <v>1417</v>
      </c>
      <c r="O739" t="s">
        <v>4784</v>
      </c>
      <c r="P739" t="s">
        <v>224</v>
      </c>
      <c r="Q739" t="s">
        <v>4785</v>
      </c>
      <c r="R739" t="s">
        <v>1687</v>
      </c>
      <c r="S739" t="s">
        <v>4786</v>
      </c>
      <c r="T739" s="2" t="s">
        <v>4787</v>
      </c>
      <c r="U739" t="s">
        <v>4788</v>
      </c>
      <c r="AA739" t="s">
        <v>4789</v>
      </c>
    </row>
    <row r="740" spans="1:27" x14ac:dyDescent="0.25">
      <c r="A740" t="s">
        <v>4790</v>
      </c>
      <c r="B740" t="s">
        <v>4791</v>
      </c>
      <c r="C740" t="s">
        <v>29</v>
      </c>
      <c r="D740" t="s">
        <v>1085</v>
      </c>
      <c r="E740" t="s">
        <v>4158</v>
      </c>
      <c r="F740" t="s">
        <v>4599</v>
      </c>
      <c r="G740" t="s">
        <v>4600</v>
      </c>
      <c r="H740" t="str">
        <f>INDEX([1]妻子表!$A:$A,MATCH(F740,[1]妻子表!$B:$B,0))</f>
        <v>ZA0067W01</v>
      </c>
      <c r="I740" t="str">
        <f>VLOOKUP(H740,[1]妻子表!$A:$D,4,0)</f>
        <v>康氏</v>
      </c>
      <c r="J740" t="s">
        <v>4159</v>
      </c>
      <c r="K740" t="s">
        <v>4792</v>
      </c>
      <c r="L740" t="s">
        <v>311</v>
      </c>
      <c r="M740" t="s">
        <v>4793</v>
      </c>
      <c r="N740" t="s">
        <v>898</v>
      </c>
      <c r="O740" t="s">
        <v>4794</v>
      </c>
      <c r="P740" t="s">
        <v>257</v>
      </c>
      <c r="Q740" t="s">
        <v>4795</v>
      </c>
      <c r="R740" t="s">
        <v>2050</v>
      </c>
      <c r="S740" t="s">
        <v>4796</v>
      </c>
      <c r="AA740" t="s">
        <v>4797</v>
      </c>
    </row>
    <row r="741" spans="1:27" x14ac:dyDescent="0.25">
      <c r="A741" t="s">
        <v>4798</v>
      </c>
      <c r="B741" t="s">
        <v>4799</v>
      </c>
      <c r="C741" t="s">
        <v>29</v>
      </c>
      <c r="D741" t="s">
        <v>1085</v>
      </c>
      <c r="E741" t="s">
        <v>4158</v>
      </c>
      <c r="F741" t="s">
        <v>4599</v>
      </c>
      <c r="G741" t="s">
        <v>4600</v>
      </c>
      <c r="H741" t="str">
        <f>INDEX([1]妻子表!$A:$A,MATCH(F741,[1]妻子表!$B:$B,0))</f>
        <v>ZA0067W01</v>
      </c>
      <c r="I741" t="str">
        <f>VLOOKUP(H741,[1]妻子表!$A:$D,4,0)</f>
        <v>康氏</v>
      </c>
      <c r="J741" t="s">
        <v>4159</v>
      </c>
      <c r="K741" t="s">
        <v>4792</v>
      </c>
      <c r="L741" t="s">
        <v>708</v>
      </c>
      <c r="M741" t="s">
        <v>4800</v>
      </c>
      <c r="N741" t="s">
        <v>981</v>
      </c>
      <c r="O741" t="s">
        <v>4801</v>
      </c>
      <c r="P741" t="s">
        <v>497</v>
      </c>
      <c r="Q741" t="s">
        <v>4802</v>
      </c>
      <c r="R741" t="s">
        <v>2811</v>
      </c>
      <c r="S741" t="s">
        <v>4803</v>
      </c>
      <c r="AA741" t="s">
        <v>4804</v>
      </c>
    </row>
    <row r="742" spans="1:27" x14ac:dyDescent="0.25">
      <c r="A742" t="s">
        <v>4805</v>
      </c>
      <c r="B742" t="s">
        <v>4806</v>
      </c>
      <c r="C742" t="s">
        <v>29</v>
      </c>
      <c r="D742" t="s">
        <v>1085</v>
      </c>
      <c r="E742" t="s">
        <v>4158</v>
      </c>
      <c r="F742" t="s">
        <v>4609</v>
      </c>
      <c r="G742" t="s">
        <v>4610</v>
      </c>
      <c r="H742" t="str">
        <f>INDEX([1]妻子表!$A:$A,MATCH(F742,[1]妻子表!$B:$B,0))</f>
        <v>ZA0068W01</v>
      </c>
      <c r="I742" t="str">
        <f>VLOOKUP(H742,[1]妻子表!$A:$D,4,0)</f>
        <v>刘氏</v>
      </c>
      <c r="J742" t="s">
        <v>4159</v>
      </c>
      <c r="L742" t="s">
        <v>1271</v>
      </c>
      <c r="M742" t="s">
        <v>4807</v>
      </c>
      <c r="N742" t="s">
        <v>981</v>
      </c>
      <c r="O742" t="s">
        <v>4808</v>
      </c>
      <c r="P742" t="s">
        <v>497</v>
      </c>
      <c r="Q742" t="s">
        <v>4809</v>
      </c>
      <c r="R742" t="s">
        <v>3108</v>
      </c>
      <c r="S742" t="s">
        <v>4810</v>
      </c>
      <c r="T742" s="2" t="s">
        <v>4811</v>
      </c>
      <c r="U742" t="s">
        <v>4812</v>
      </c>
      <c r="AA742" t="s">
        <v>4813</v>
      </c>
    </row>
    <row r="743" spans="1:27" x14ac:dyDescent="0.25">
      <c r="A743" t="s">
        <v>4814</v>
      </c>
      <c r="B743" t="s">
        <v>4815</v>
      </c>
      <c r="C743" t="s">
        <v>29</v>
      </c>
      <c r="D743" t="s">
        <v>1085</v>
      </c>
      <c r="E743" t="s">
        <v>4158</v>
      </c>
      <c r="F743" t="s">
        <v>4618</v>
      </c>
      <c r="G743" t="s">
        <v>4619</v>
      </c>
      <c r="H743" t="str">
        <f>INDEX([1]妻子表!$A:$A,MATCH(F743,[1]妻子表!$B:$B,0))</f>
        <v>ZA0069W01</v>
      </c>
      <c r="I743" t="str">
        <f>VLOOKUP(H743,[1]妻子表!$A:$D,4,0)</f>
        <v>刘氏</v>
      </c>
      <c r="J743" t="s">
        <v>4159</v>
      </c>
      <c r="K743" t="s">
        <v>4792</v>
      </c>
      <c r="L743" t="s">
        <v>761</v>
      </c>
      <c r="M743" t="s">
        <v>4816</v>
      </c>
      <c r="N743" t="s">
        <v>558</v>
      </c>
      <c r="O743" t="s">
        <v>4817</v>
      </c>
      <c r="P743" t="s">
        <v>407</v>
      </c>
      <c r="Q743" t="s">
        <v>4818</v>
      </c>
      <c r="R743" t="s">
        <v>632</v>
      </c>
      <c r="S743" t="s">
        <v>4819</v>
      </c>
      <c r="AA743" t="s">
        <v>4820</v>
      </c>
    </row>
    <row r="744" spans="1:27" x14ac:dyDescent="0.25">
      <c r="A744" t="s">
        <v>4821</v>
      </c>
      <c r="B744" t="s">
        <v>4822</v>
      </c>
      <c r="C744" t="s">
        <v>29</v>
      </c>
      <c r="D744" t="s">
        <v>870</v>
      </c>
      <c r="E744" t="s">
        <v>4158</v>
      </c>
      <c r="F744" t="s">
        <v>4624</v>
      </c>
      <c r="G744" t="s">
        <v>4625</v>
      </c>
      <c r="H744" t="str">
        <f>INDEX([1]妻子表!$A:$A,MATCH(F744,[1]妻子表!$B:$B,0))</f>
        <v>ZA0070W01</v>
      </c>
      <c r="I744" t="str">
        <f>VLOOKUP(H744,[1]妻子表!$A:$D,4,0)</f>
        <v>杨氏</v>
      </c>
      <c r="J744" t="s">
        <v>4159</v>
      </c>
    </row>
    <row r="745" spans="1:27" x14ac:dyDescent="0.25">
      <c r="A745" t="s">
        <v>4823</v>
      </c>
      <c r="B745" t="s">
        <v>4824</v>
      </c>
      <c r="C745" t="s">
        <v>29</v>
      </c>
      <c r="D745" t="s">
        <v>870</v>
      </c>
      <c r="E745" t="s">
        <v>4158</v>
      </c>
      <c r="F745" t="s">
        <v>4624</v>
      </c>
      <c r="G745" t="s">
        <v>4625</v>
      </c>
      <c r="H745" t="str">
        <f>INDEX([1]妻子表!$A:$A,MATCH(F745,[1]妻子表!$B:$B,0))</f>
        <v>ZA0070W01</v>
      </c>
      <c r="I745" t="str">
        <f>VLOOKUP(H745,[1]妻子表!$A:$D,4,0)</f>
        <v>杨氏</v>
      </c>
      <c r="J745" t="s">
        <v>4159</v>
      </c>
    </row>
    <row r="746" spans="1:27" x14ac:dyDescent="0.25">
      <c r="A746" t="s">
        <v>4825</v>
      </c>
      <c r="B746" t="s">
        <v>4826</v>
      </c>
      <c r="C746" t="s">
        <v>29</v>
      </c>
      <c r="D746" t="s">
        <v>870</v>
      </c>
      <c r="E746" t="s">
        <v>4158</v>
      </c>
      <c r="F746" t="s">
        <v>4654</v>
      </c>
      <c r="G746" t="s">
        <v>4655</v>
      </c>
      <c r="J746" t="s">
        <v>4159</v>
      </c>
    </row>
    <row r="747" spans="1:27" x14ac:dyDescent="0.25">
      <c r="A747" t="s">
        <v>4827</v>
      </c>
      <c r="B747" t="s">
        <v>4828</v>
      </c>
      <c r="C747" t="s">
        <v>29</v>
      </c>
      <c r="D747" t="s">
        <v>870</v>
      </c>
      <c r="E747" t="s">
        <v>4158</v>
      </c>
      <c r="F747" t="s">
        <v>4673</v>
      </c>
      <c r="G747" t="s">
        <v>4674</v>
      </c>
      <c r="H747" t="str">
        <f>INDEX([1]妻子表!$A:$A,MATCH(F747,[1]妻子表!$B:$B,0))</f>
        <v>ZA0081W01</v>
      </c>
      <c r="I747" t="str">
        <f>VLOOKUP(H747,[1]妻子表!$A:$D,4,0)</f>
        <v>肖氏</v>
      </c>
      <c r="J747" t="s">
        <v>4159</v>
      </c>
      <c r="M747" t="s">
        <v>4829</v>
      </c>
      <c r="N747" t="s">
        <v>4830</v>
      </c>
      <c r="O747" t="s">
        <v>4831</v>
      </c>
      <c r="P747" t="s">
        <v>169</v>
      </c>
      <c r="T747" s="2" t="s">
        <v>4832</v>
      </c>
      <c r="U747" t="s">
        <v>95</v>
      </c>
      <c r="AA747" t="s">
        <v>4833</v>
      </c>
    </row>
    <row r="748" spans="1:27" x14ac:dyDescent="0.25">
      <c r="A748" t="s">
        <v>4834</v>
      </c>
      <c r="B748" t="s">
        <v>4835</v>
      </c>
      <c r="C748" t="s">
        <v>29</v>
      </c>
      <c r="D748" t="s">
        <v>870</v>
      </c>
      <c r="E748" t="s">
        <v>4158</v>
      </c>
      <c r="F748" t="s">
        <v>4680</v>
      </c>
      <c r="G748" t="s">
        <v>4681</v>
      </c>
      <c r="H748" t="str">
        <f>INDEX([1]妻子表!$A:$A,MATCH(F748,[1]妻子表!$B:$B,0))</f>
        <v>ZA0082W01</v>
      </c>
      <c r="I748" t="str">
        <f>VLOOKUP(H748,[1]妻子表!$A:$D,4,0)</f>
        <v>刘氏</v>
      </c>
      <c r="J748" t="s">
        <v>4159</v>
      </c>
      <c r="K748" t="s">
        <v>4682</v>
      </c>
      <c r="L748" t="s">
        <v>4452</v>
      </c>
      <c r="M748" t="s">
        <v>4836</v>
      </c>
      <c r="N748" t="s">
        <v>1367</v>
      </c>
      <c r="O748" t="s">
        <v>4837</v>
      </c>
      <c r="P748" t="s">
        <v>184</v>
      </c>
      <c r="Q748" t="s">
        <v>4838</v>
      </c>
      <c r="R748" t="s">
        <v>1526</v>
      </c>
      <c r="S748" t="s">
        <v>4839</v>
      </c>
      <c r="T748" s="2" t="s">
        <v>4840</v>
      </c>
      <c r="U748" t="s">
        <v>174</v>
      </c>
      <c r="AA748" t="s">
        <v>4841</v>
      </c>
    </row>
    <row r="749" spans="1:27" x14ac:dyDescent="0.25">
      <c r="A749" t="s">
        <v>4842</v>
      </c>
      <c r="B749" t="s">
        <v>4843</v>
      </c>
      <c r="C749" t="s">
        <v>29</v>
      </c>
      <c r="D749" t="s">
        <v>870</v>
      </c>
      <c r="E749" t="s">
        <v>4158</v>
      </c>
      <c r="F749" t="s">
        <v>4680</v>
      </c>
      <c r="G749" t="s">
        <v>4681</v>
      </c>
      <c r="H749" t="str">
        <f>INDEX([1]妻子表!$A:$A,MATCH(F749,[1]妻子表!$B:$B,0))</f>
        <v>ZA0082W01</v>
      </c>
      <c r="I749" t="str">
        <f>VLOOKUP(H749,[1]妻子表!$A:$D,4,0)</f>
        <v>刘氏</v>
      </c>
      <c r="J749" t="s">
        <v>4159</v>
      </c>
      <c r="K749" t="s">
        <v>1138</v>
      </c>
      <c r="M749" t="s">
        <v>4844</v>
      </c>
      <c r="N749" t="s">
        <v>1648</v>
      </c>
      <c r="O749" t="s">
        <v>4845</v>
      </c>
      <c r="P749" t="s">
        <v>200</v>
      </c>
      <c r="R749" t="s">
        <v>1965</v>
      </c>
      <c r="T749" s="2" t="s">
        <v>4846</v>
      </c>
      <c r="AA749" t="s">
        <v>4847</v>
      </c>
    </row>
    <row r="750" spans="1:27" x14ac:dyDescent="0.25">
      <c r="A750" t="s">
        <v>4848</v>
      </c>
      <c r="B750" t="s">
        <v>4849</v>
      </c>
      <c r="C750" t="s">
        <v>29</v>
      </c>
      <c r="D750" t="s">
        <v>870</v>
      </c>
      <c r="E750" t="s">
        <v>4158</v>
      </c>
      <c r="F750" t="s">
        <v>4680</v>
      </c>
      <c r="G750" t="s">
        <v>4681</v>
      </c>
      <c r="H750" t="str">
        <f>INDEX([1]妻子表!$A:$A,MATCH(F750,[1]妻子表!$B:$B,0))</f>
        <v>ZA0082W01</v>
      </c>
      <c r="I750" t="str">
        <f>VLOOKUP(H750,[1]妻子表!$A:$D,4,0)</f>
        <v>刘氏</v>
      </c>
      <c r="J750" t="s">
        <v>4159</v>
      </c>
      <c r="AA750" t="s">
        <v>4850</v>
      </c>
    </row>
    <row r="751" spans="1:27" x14ac:dyDescent="0.25">
      <c r="A751" t="s">
        <v>4851</v>
      </c>
      <c r="B751" t="s">
        <v>4852</v>
      </c>
      <c r="C751" t="s">
        <v>29</v>
      </c>
      <c r="D751" t="s">
        <v>870</v>
      </c>
      <c r="E751" t="s">
        <v>4158</v>
      </c>
      <c r="F751" t="s">
        <v>4680</v>
      </c>
      <c r="G751" t="s">
        <v>4681</v>
      </c>
      <c r="H751" t="str">
        <f>INDEX([1]妻子表!$A:$A,MATCH(F751,[1]妻子表!$B:$B,0))</f>
        <v>ZA0082W01</v>
      </c>
      <c r="I751" t="str">
        <f>VLOOKUP(H751,[1]妻子表!$A:$D,4,0)</f>
        <v>刘氏</v>
      </c>
      <c r="J751" t="s">
        <v>4159</v>
      </c>
      <c r="AA751" t="s">
        <v>4853</v>
      </c>
    </row>
    <row r="752" spans="1:27" x14ac:dyDescent="0.25">
      <c r="A752" t="s">
        <v>4854</v>
      </c>
      <c r="B752" t="s">
        <v>4855</v>
      </c>
      <c r="C752" t="s">
        <v>29</v>
      </c>
      <c r="D752" t="s">
        <v>870</v>
      </c>
      <c r="E752" t="s">
        <v>4158</v>
      </c>
      <c r="F752" t="s">
        <v>4689</v>
      </c>
      <c r="G752" t="s">
        <v>4690</v>
      </c>
      <c r="H752" t="str">
        <f>INDEX([1]妻子表!$A:$A,MATCH(F752,[1]妻子表!$B:$B,0))</f>
        <v>ZA0083W01</v>
      </c>
      <c r="I752" t="str">
        <f>VLOOKUP(H752,[1]妻子表!$A:$D,4,0)</f>
        <v>刘氏</v>
      </c>
      <c r="J752" t="s">
        <v>4159</v>
      </c>
      <c r="L752" t="s">
        <v>4425</v>
      </c>
      <c r="M752" t="s">
        <v>4856</v>
      </c>
      <c r="N752" t="s">
        <v>1036</v>
      </c>
      <c r="O752" t="s">
        <v>4857</v>
      </c>
      <c r="P752" t="s">
        <v>108</v>
      </c>
      <c r="Q752" t="s">
        <v>4858</v>
      </c>
      <c r="R752" t="s">
        <v>1897</v>
      </c>
      <c r="S752" t="s">
        <v>4859</v>
      </c>
      <c r="T752" s="2" t="s">
        <v>4860</v>
      </c>
      <c r="AA752" t="s">
        <v>4861</v>
      </c>
    </row>
    <row r="753" spans="1:27" x14ac:dyDescent="0.25">
      <c r="A753" t="s">
        <v>4862</v>
      </c>
      <c r="B753" t="s">
        <v>4863</v>
      </c>
      <c r="C753" t="s">
        <v>29</v>
      </c>
      <c r="D753" t="s">
        <v>870</v>
      </c>
      <c r="E753" t="s">
        <v>4158</v>
      </c>
      <c r="F753" t="s">
        <v>4698</v>
      </c>
      <c r="G753" t="s">
        <v>4699</v>
      </c>
      <c r="H753" t="str">
        <f>INDEX([1]妻子表!$A:$A,MATCH(F753,[1]妻子表!$B:$B,0))</f>
        <v>ZA0084W01</v>
      </c>
      <c r="I753" t="str">
        <f>VLOOKUP(H753,[1]妻子表!$A:$D,4,0)</f>
        <v>王氏</v>
      </c>
      <c r="J753" t="s">
        <v>4159</v>
      </c>
      <c r="AA753" t="s">
        <v>2678</v>
      </c>
    </row>
    <row r="754" spans="1:27" x14ac:dyDescent="0.25">
      <c r="A754" t="s">
        <v>4864</v>
      </c>
      <c r="B754" t="s">
        <v>4865</v>
      </c>
      <c r="C754" t="s">
        <v>29</v>
      </c>
      <c r="D754" t="s">
        <v>870</v>
      </c>
      <c r="E754" t="s">
        <v>4158</v>
      </c>
      <c r="F754" t="s">
        <v>4698</v>
      </c>
      <c r="G754" t="s">
        <v>4699</v>
      </c>
      <c r="H754" t="str">
        <f>INDEX([1]妻子表!$A:$A,MATCH(F754,[1]妻子表!$B:$B,0))</f>
        <v>ZA0084W01</v>
      </c>
      <c r="I754" t="str">
        <f>VLOOKUP(H754,[1]妻子表!$A:$D,4,0)</f>
        <v>王氏</v>
      </c>
      <c r="J754" t="s">
        <v>4159</v>
      </c>
      <c r="K754" t="s">
        <v>4866</v>
      </c>
      <c r="L754" t="s">
        <v>311</v>
      </c>
      <c r="M754" t="s">
        <v>4867</v>
      </c>
      <c r="N754" t="s">
        <v>1658</v>
      </c>
      <c r="O754" t="s">
        <v>4868</v>
      </c>
      <c r="P754" t="s">
        <v>257</v>
      </c>
      <c r="Q754" t="s">
        <v>4869</v>
      </c>
      <c r="R754" t="s">
        <v>3197</v>
      </c>
      <c r="S754" t="s">
        <v>4870</v>
      </c>
      <c r="T754" s="2" t="s">
        <v>4871</v>
      </c>
      <c r="U754" t="s">
        <v>95</v>
      </c>
      <c r="Y754" t="s">
        <v>1423</v>
      </c>
      <c r="AA754" t="s">
        <v>5583</v>
      </c>
    </row>
    <row r="755" spans="1:27" x14ac:dyDescent="0.25">
      <c r="A755" t="s">
        <v>4872</v>
      </c>
      <c r="B755" t="s">
        <v>4873</v>
      </c>
      <c r="C755" t="s">
        <v>29</v>
      </c>
      <c r="D755" t="s">
        <v>870</v>
      </c>
      <c r="E755" t="s">
        <v>4158</v>
      </c>
      <c r="F755" t="s">
        <v>4704</v>
      </c>
      <c r="G755" t="s">
        <v>4705</v>
      </c>
      <c r="H755" t="str">
        <f>INDEX([1]妻子表!$A:$A,MATCH(F755,[1]妻子表!$B:$B,0))</f>
        <v>ZA0085W01</v>
      </c>
      <c r="I755" t="str">
        <f>VLOOKUP(H755,[1]妻子表!$A:$D,4,0)</f>
        <v>肖氏</v>
      </c>
      <c r="J755" t="s">
        <v>4159</v>
      </c>
      <c r="L755" t="s">
        <v>454</v>
      </c>
      <c r="M755" t="s">
        <v>4874</v>
      </c>
      <c r="N755" t="s">
        <v>1377</v>
      </c>
      <c r="O755" t="s">
        <v>4875</v>
      </c>
      <c r="P755" t="s">
        <v>458</v>
      </c>
      <c r="Q755" t="s">
        <v>4876</v>
      </c>
      <c r="R755" t="s">
        <v>3197</v>
      </c>
      <c r="S755" t="s">
        <v>4877</v>
      </c>
      <c r="T755" s="2" t="s">
        <v>4878</v>
      </c>
      <c r="U755" t="s">
        <v>245</v>
      </c>
      <c r="Y755" t="s">
        <v>1423</v>
      </c>
      <c r="AA755" t="s">
        <v>5582</v>
      </c>
    </row>
    <row r="756" spans="1:27" x14ac:dyDescent="0.25">
      <c r="A756" t="s">
        <v>4879</v>
      </c>
      <c r="B756" t="s">
        <v>4880</v>
      </c>
      <c r="C756" t="s">
        <v>29</v>
      </c>
      <c r="D756" t="s">
        <v>870</v>
      </c>
      <c r="E756" t="s">
        <v>4158</v>
      </c>
      <c r="F756" t="s">
        <v>4704</v>
      </c>
      <c r="G756" t="s">
        <v>4705</v>
      </c>
      <c r="H756" t="str">
        <f>INDEX([1]妻子表!$A:$A,MATCH(F756,[1]妻子表!$B:$B,0))</f>
        <v>ZA0085W01</v>
      </c>
      <c r="I756" t="str">
        <f>VLOOKUP(H756,[1]妻子表!$A:$D,4,0)</f>
        <v>肖氏</v>
      </c>
      <c r="J756" t="s">
        <v>4159</v>
      </c>
      <c r="K756" t="s">
        <v>4881</v>
      </c>
      <c r="M756" t="s">
        <v>4882</v>
      </c>
      <c r="N756" t="s">
        <v>1897</v>
      </c>
      <c r="O756" t="s">
        <v>4883</v>
      </c>
      <c r="P756" t="s">
        <v>108</v>
      </c>
      <c r="T756" s="2" t="s">
        <v>4884</v>
      </c>
      <c r="U756" t="s">
        <v>174</v>
      </c>
      <c r="AA756" t="s">
        <v>4885</v>
      </c>
    </row>
    <row r="757" spans="1:27" ht="31.5" customHeight="1" x14ac:dyDescent="0.25">
      <c r="A757" t="s">
        <v>4886</v>
      </c>
      <c r="B757" t="s">
        <v>4887</v>
      </c>
      <c r="C757" t="s">
        <v>29</v>
      </c>
      <c r="D757" t="s">
        <v>870</v>
      </c>
      <c r="E757" t="s">
        <v>4158</v>
      </c>
      <c r="F757" t="s">
        <v>4704</v>
      </c>
      <c r="G757" t="s">
        <v>4705</v>
      </c>
      <c r="H757" t="str">
        <f>INDEX([1]妻子表!$A:$A,MATCH(F757,[1]妻子表!$B:$B,0))</f>
        <v>ZA0085W01</v>
      </c>
      <c r="I757" t="str">
        <f>VLOOKUP(H757,[1]妻子表!$A:$D,4,0)</f>
        <v>肖氏</v>
      </c>
      <c r="J757" t="s">
        <v>4159</v>
      </c>
      <c r="K757" t="s">
        <v>4888</v>
      </c>
      <c r="M757" t="s">
        <v>4889</v>
      </c>
      <c r="N757" t="s">
        <v>1321</v>
      </c>
      <c r="O757" t="s">
        <v>4890</v>
      </c>
      <c r="P757" t="s">
        <v>257</v>
      </c>
      <c r="T757" s="2" t="s">
        <v>4891</v>
      </c>
      <c r="U757" t="s">
        <v>4892</v>
      </c>
      <c r="AA757" t="s">
        <v>4893</v>
      </c>
    </row>
    <row r="758" spans="1:27" x14ac:dyDescent="0.25">
      <c r="A758" t="s">
        <v>4894</v>
      </c>
      <c r="B758" t="s">
        <v>4895</v>
      </c>
      <c r="C758" t="s">
        <v>29</v>
      </c>
      <c r="D758" t="s">
        <v>870</v>
      </c>
      <c r="E758" t="s">
        <v>4158</v>
      </c>
      <c r="F758" t="s">
        <v>4722</v>
      </c>
      <c r="G758" t="s">
        <v>4723</v>
      </c>
      <c r="H758" t="str">
        <f>INDEX([1]妻子表!$A:$A,MATCH(F758,[1]妻子表!$B:$B,0))</f>
        <v>ZA0087W01</v>
      </c>
      <c r="I758" t="str">
        <f>VLOOKUP(H758,[1]妻子表!$A:$D,4,0)</f>
        <v>朱氏</v>
      </c>
      <c r="J758" t="s">
        <v>4159</v>
      </c>
      <c r="M758" t="s">
        <v>4896</v>
      </c>
      <c r="N758" t="s">
        <v>1292</v>
      </c>
      <c r="O758" t="s">
        <v>4897</v>
      </c>
      <c r="P758" t="s">
        <v>169</v>
      </c>
      <c r="R758" t="s">
        <v>4898</v>
      </c>
      <c r="T758" s="2" t="s">
        <v>4899</v>
      </c>
      <c r="U758" t="s">
        <v>174</v>
      </c>
      <c r="AA758" t="s">
        <v>4900</v>
      </c>
    </row>
    <row r="759" spans="1:27" x14ac:dyDescent="0.25">
      <c r="A759" t="s">
        <v>4901</v>
      </c>
      <c r="B759" t="s">
        <v>4902</v>
      </c>
      <c r="C759" t="s">
        <v>29</v>
      </c>
      <c r="D759" t="s">
        <v>870</v>
      </c>
      <c r="E759" t="s">
        <v>4158</v>
      </c>
      <c r="F759" t="s">
        <v>4722</v>
      </c>
      <c r="G759" t="s">
        <v>4723</v>
      </c>
      <c r="H759" t="str">
        <f>INDEX([1]妻子表!$A:$A,MATCH(F759,[1]妻子表!$B:$B,0))</f>
        <v>ZA0087W01</v>
      </c>
      <c r="I759" t="str">
        <f>VLOOKUP(H759,[1]妻子表!$A:$D,4,0)</f>
        <v>朱氏</v>
      </c>
      <c r="J759" t="s">
        <v>4159</v>
      </c>
      <c r="R759" t="s">
        <v>4898</v>
      </c>
      <c r="AA759" t="s">
        <v>4903</v>
      </c>
    </row>
    <row r="760" spans="1:27" x14ac:dyDescent="0.25">
      <c r="A760" t="s">
        <v>4904</v>
      </c>
      <c r="B760" t="s">
        <v>4905</v>
      </c>
      <c r="C760" t="s">
        <v>29</v>
      </c>
      <c r="D760" t="s">
        <v>870</v>
      </c>
      <c r="E760" t="s">
        <v>4158</v>
      </c>
      <c r="F760" t="s">
        <v>4722</v>
      </c>
      <c r="G760" t="s">
        <v>4723</v>
      </c>
      <c r="H760" t="str">
        <f>INDEX([1]妻子表!$A:$A,MATCH(F760,[1]妻子表!$B:$B,0))</f>
        <v>ZA0087W01</v>
      </c>
      <c r="I760" t="str">
        <f>VLOOKUP(H760,[1]妻子表!$A:$D,4,0)</f>
        <v>朱氏</v>
      </c>
      <c r="J760" t="s">
        <v>4159</v>
      </c>
    </row>
    <row r="761" spans="1:27" x14ac:dyDescent="0.25">
      <c r="A761" t="s">
        <v>4906</v>
      </c>
      <c r="B761" t="s">
        <v>4907</v>
      </c>
      <c r="C761" t="s">
        <v>29</v>
      </c>
      <c r="D761" t="s">
        <v>870</v>
      </c>
      <c r="E761" t="s">
        <v>4158</v>
      </c>
      <c r="F761" t="s">
        <v>4722</v>
      </c>
      <c r="G761" t="s">
        <v>4723</v>
      </c>
      <c r="H761" t="str">
        <f>INDEX([1]妻子表!$A:$A,MATCH(F761,[1]妻子表!$B:$B,0))</f>
        <v>ZA0087W01</v>
      </c>
      <c r="I761" t="str">
        <f>VLOOKUP(H761,[1]妻子表!$A:$D,4,0)</f>
        <v>朱氏</v>
      </c>
      <c r="J761" t="s">
        <v>4159</v>
      </c>
      <c r="M761" t="s">
        <v>4908</v>
      </c>
      <c r="N761" t="s">
        <v>1079</v>
      </c>
      <c r="O761" t="s">
        <v>4909</v>
      </c>
      <c r="P761" t="s">
        <v>497</v>
      </c>
      <c r="T761" s="2" t="s">
        <v>4910</v>
      </c>
      <c r="U761" t="s">
        <v>174</v>
      </c>
      <c r="AA761" t="s">
        <v>4911</v>
      </c>
    </row>
    <row r="762" spans="1:27" x14ac:dyDescent="0.25">
      <c r="A762" t="s">
        <v>4912</v>
      </c>
      <c r="B762" t="s">
        <v>4913</v>
      </c>
      <c r="C762" t="s">
        <v>29</v>
      </c>
      <c r="D762" t="s">
        <v>870</v>
      </c>
      <c r="E762" t="s">
        <v>4158</v>
      </c>
      <c r="F762" t="s">
        <v>4729</v>
      </c>
      <c r="G762" t="s">
        <v>4730</v>
      </c>
      <c r="H762" t="str">
        <f>INDEX([1]妻子表!$A:$A,MATCH(F762,[1]妻子表!$B:$B,0))</f>
        <v>ZA0088W01</v>
      </c>
      <c r="I762" t="str">
        <f>VLOOKUP(H762,[1]妻子表!$A:$D,4,0)</f>
        <v>刘氏</v>
      </c>
      <c r="J762" t="s">
        <v>4159</v>
      </c>
      <c r="L762" t="s">
        <v>341</v>
      </c>
      <c r="M762" t="s">
        <v>4914</v>
      </c>
      <c r="N762" t="s">
        <v>984</v>
      </c>
      <c r="O762" t="s">
        <v>4915</v>
      </c>
      <c r="P762" t="s">
        <v>184</v>
      </c>
      <c r="Q762" t="s">
        <v>4916</v>
      </c>
      <c r="R762" t="s">
        <v>1014</v>
      </c>
      <c r="S762" t="s">
        <v>330</v>
      </c>
      <c r="AA762" t="s">
        <v>4917</v>
      </c>
    </row>
    <row r="763" spans="1:27" x14ac:dyDescent="0.25">
      <c r="A763" t="s">
        <v>4918</v>
      </c>
      <c r="B763" t="s">
        <v>4919</v>
      </c>
      <c r="C763" t="s">
        <v>29</v>
      </c>
      <c r="D763" t="s">
        <v>870</v>
      </c>
      <c r="E763" t="s">
        <v>4158</v>
      </c>
      <c r="F763" t="s">
        <v>4729</v>
      </c>
      <c r="G763" t="s">
        <v>4730</v>
      </c>
      <c r="H763" t="str">
        <f>INDEX([1]妻子表!$A:$A,MATCH(F763,[1]妻子表!$B:$B,0))</f>
        <v>ZA0088W01</v>
      </c>
      <c r="I763" t="str">
        <f>VLOOKUP(H763,[1]妻子表!$A:$D,4,0)</f>
        <v>刘氏</v>
      </c>
      <c r="J763" t="s">
        <v>4159</v>
      </c>
      <c r="M763" t="s">
        <v>4920</v>
      </c>
      <c r="N763" t="s">
        <v>1837</v>
      </c>
      <c r="O763" t="s">
        <v>4921</v>
      </c>
      <c r="P763" t="s">
        <v>601</v>
      </c>
      <c r="T763" s="2" t="s">
        <v>4922</v>
      </c>
      <c r="U763" t="s">
        <v>882</v>
      </c>
      <c r="AA763" t="s">
        <v>4923</v>
      </c>
    </row>
    <row r="764" spans="1:27" x14ac:dyDescent="0.25">
      <c r="A764" t="s">
        <v>4924</v>
      </c>
      <c r="B764" t="s">
        <v>4925</v>
      </c>
      <c r="C764" t="s">
        <v>29</v>
      </c>
      <c r="D764" t="s">
        <v>870</v>
      </c>
      <c r="E764" t="s">
        <v>4158</v>
      </c>
      <c r="F764" t="s">
        <v>4729</v>
      </c>
      <c r="G764" t="s">
        <v>4730</v>
      </c>
      <c r="H764" t="str">
        <f>INDEX([1]妻子表!$A:$A,MATCH(F764,[1]妻子表!$B:$B,0))</f>
        <v>ZA0088W01</v>
      </c>
      <c r="I764" t="str">
        <f>VLOOKUP(H764,[1]妻子表!$A:$D,4,0)</f>
        <v>刘氏</v>
      </c>
      <c r="J764" t="s">
        <v>4159</v>
      </c>
      <c r="M764" t="s">
        <v>4926</v>
      </c>
      <c r="N764" t="s">
        <v>2870</v>
      </c>
      <c r="O764" t="s">
        <v>4927</v>
      </c>
      <c r="P764" t="s">
        <v>458</v>
      </c>
      <c r="T764" s="2" t="s">
        <v>4928</v>
      </c>
      <c r="U764" t="s">
        <v>882</v>
      </c>
      <c r="AA764" t="s">
        <v>4929</v>
      </c>
    </row>
    <row r="765" spans="1:27" x14ac:dyDescent="0.25">
      <c r="A765" t="s">
        <v>4930</v>
      </c>
      <c r="B765" t="s">
        <v>4931</v>
      </c>
      <c r="C765" t="s">
        <v>29</v>
      </c>
      <c r="D765" t="s">
        <v>870</v>
      </c>
      <c r="E765" t="s">
        <v>4158</v>
      </c>
      <c r="F765" t="s">
        <v>4737</v>
      </c>
      <c r="G765" t="s">
        <v>4738</v>
      </c>
      <c r="H765" t="str">
        <f>INDEX([1]妻子表!$A:$A,MATCH(F765,[1]妻子表!$B:$B,0))</f>
        <v>ZA0089W01</v>
      </c>
      <c r="I765" t="str">
        <f>VLOOKUP(H765,[1]妻子表!$A:$D,4,0)</f>
        <v>彭氏</v>
      </c>
      <c r="J765" t="s">
        <v>4159</v>
      </c>
      <c r="K765" t="s">
        <v>1138</v>
      </c>
      <c r="M765" t="s">
        <v>4932</v>
      </c>
      <c r="N765" t="s">
        <v>4933</v>
      </c>
      <c r="O765" t="s">
        <v>4934</v>
      </c>
      <c r="P765" t="s">
        <v>169</v>
      </c>
      <c r="T765" s="2" t="s">
        <v>4935</v>
      </c>
      <c r="U765" t="s">
        <v>95</v>
      </c>
      <c r="AA765" t="s">
        <v>4936</v>
      </c>
    </row>
    <row r="766" spans="1:27" x14ac:dyDescent="0.25">
      <c r="A766" t="s">
        <v>4937</v>
      </c>
      <c r="B766" t="s">
        <v>4938</v>
      </c>
      <c r="C766" t="s">
        <v>29</v>
      </c>
      <c r="D766" t="s">
        <v>870</v>
      </c>
      <c r="E766" t="s">
        <v>4158</v>
      </c>
      <c r="F766" t="s">
        <v>4737</v>
      </c>
      <c r="G766" t="s">
        <v>4738</v>
      </c>
      <c r="H766" t="str">
        <f>INDEX([1]妻子表!$A:$A,MATCH(F766,[1]妻子表!$B:$B,0))</f>
        <v>ZA0089W01</v>
      </c>
      <c r="I766" t="str">
        <f>VLOOKUP(H766,[1]妻子表!$A:$D,4,0)</f>
        <v>彭氏</v>
      </c>
      <c r="J766" t="s">
        <v>4159</v>
      </c>
      <c r="M766" t="s">
        <v>4939</v>
      </c>
      <c r="N766" t="s">
        <v>1252</v>
      </c>
      <c r="O766" t="s">
        <v>4940</v>
      </c>
      <c r="P766" t="s">
        <v>184</v>
      </c>
      <c r="AA766" t="s">
        <v>4941</v>
      </c>
    </row>
    <row r="767" spans="1:27" x14ac:dyDescent="0.25">
      <c r="A767" t="s">
        <v>4942</v>
      </c>
      <c r="B767" t="s">
        <v>4943</v>
      </c>
      <c r="C767" t="s">
        <v>29</v>
      </c>
      <c r="D767" t="s">
        <v>870</v>
      </c>
      <c r="E767" t="s">
        <v>4158</v>
      </c>
      <c r="F767" t="s">
        <v>4745</v>
      </c>
      <c r="G767" t="s">
        <v>4746</v>
      </c>
      <c r="H767" t="str">
        <f>INDEX([1]妻子表!$A:$A,MATCH(F767,[1]妻子表!$B:$B,0))</f>
        <v>ZA0090W01</v>
      </c>
      <c r="I767" t="str">
        <f>VLOOKUP(H767,[1]妻子表!$A:$D,4,0)</f>
        <v>曾氏</v>
      </c>
      <c r="J767" t="s">
        <v>4159</v>
      </c>
      <c r="K767" t="s">
        <v>4792</v>
      </c>
      <c r="L767" t="s">
        <v>518</v>
      </c>
      <c r="M767" t="s">
        <v>4944</v>
      </c>
      <c r="N767" t="s">
        <v>1737</v>
      </c>
      <c r="O767" t="s">
        <v>4945</v>
      </c>
      <c r="P767" t="s">
        <v>240</v>
      </c>
      <c r="Q767" t="s">
        <v>4946</v>
      </c>
      <c r="R767" t="s">
        <v>1897</v>
      </c>
      <c r="S767" t="s">
        <v>4947</v>
      </c>
      <c r="T767" s="2" t="s">
        <v>4948</v>
      </c>
      <c r="U767" t="s">
        <v>716</v>
      </c>
      <c r="AA767" t="s">
        <v>4949</v>
      </c>
    </row>
    <row r="768" spans="1:27" ht="31.5" customHeight="1" x14ac:dyDescent="0.25">
      <c r="A768" t="s">
        <v>4950</v>
      </c>
      <c r="B768" t="s">
        <v>4951</v>
      </c>
      <c r="C768" t="s">
        <v>29</v>
      </c>
      <c r="D768" t="s">
        <v>870</v>
      </c>
      <c r="E768" t="s">
        <v>4158</v>
      </c>
      <c r="F768" t="s">
        <v>4754</v>
      </c>
      <c r="G768" t="s">
        <v>4755</v>
      </c>
      <c r="H768" t="str">
        <f>INDEX([1]妻子表!$A:$A,MATCH(F768,[1]妻子表!$B:$B,0))</f>
        <v>ZA0091W01</v>
      </c>
      <c r="I768" t="str">
        <f>VLOOKUP(H768,[1]妻子表!$A:$D,4,0)</f>
        <v>刘氏</v>
      </c>
      <c r="J768" t="s">
        <v>4159</v>
      </c>
      <c r="K768" t="s">
        <v>4792</v>
      </c>
      <c r="L768" t="s">
        <v>886</v>
      </c>
      <c r="M768" t="s">
        <v>4952</v>
      </c>
      <c r="N768" t="s">
        <v>901</v>
      </c>
      <c r="O768" t="s">
        <v>509</v>
      </c>
      <c r="P768" t="s">
        <v>224</v>
      </c>
      <c r="Q768" t="s">
        <v>4953</v>
      </c>
      <c r="R768" t="s">
        <v>2254</v>
      </c>
      <c r="S768" t="s">
        <v>4954</v>
      </c>
      <c r="T768" s="2" t="s">
        <v>4955</v>
      </c>
      <c r="U768" t="s">
        <v>4956</v>
      </c>
      <c r="AA768" t="s">
        <v>4957</v>
      </c>
    </row>
    <row r="769" spans="1:27" x14ac:dyDescent="0.25">
      <c r="A769" t="s">
        <v>4958</v>
      </c>
      <c r="B769" t="s">
        <v>4959</v>
      </c>
      <c r="C769" t="s">
        <v>29</v>
      </c>
      <c r="D769" t="s">
        <v>870</v>
      </c>
      <c r="E769" t="s">
        <v>4158</v>
      </c>
      <c r="F769" t="s">
        <v>4763</v>
      </c>
      <c r="G769" t="s">
        <v>4764</v>
      </c>
      <c r="H769" t="str">
        <f>INDEX([1]妻子表!$A:$A,MATCH(F769,[1]妻子表!$B:$B,0))</f>
        <v>ZA0092W01</v>
      </c>
      <c r="I769" t="str">
        <f>VLOOKUP(H769,[1]妻子表!$A:$D,4,0)</f>
        <v>刘氏</v>
      </c>
      <c r="J769" t="s">
        <v>4159</v>
      </c>
      <c r="K769" t="s">
        <v>4960</v>
      </c>
      <c r="M769" t="s">
        <v>4961</v>
      </c>
      <c r="N769" t="s">
        <v>1036</v>
      </c>
      <c r="O769" t="s">
        <v>4962</v>
      </c>
      <c r="P769" t="s">
        <v>108</v>
      </c>
      <c r="T769" s="2" t="s">
        <v>4963</v>
      </c>
      <c r="U769" t="s">
        <v>174</v>
      </c>
      <c r="AA769" t="s">
        <v>4964</v>
      </c>
    </row>
    <row r="770" spans="1:27" x14ac:dyDescent="0.25">
      <c r="A770" t="s">
        <v>4965</v>
      </c>
      <c r="B770" t="s">
        <v>4966</v>
      </c>
      <c r="C770" t="s">
        <v>29</v>
      </c>
      <c r="D770" t="s">
        <v>870</v>
      </c>
      <c r="E770" t="s">
        <v>4158</v>
      </c>
      <c r="F770" t="s">
        <v>4763</v>
      </c>
      <c r="G770" t="s">
        <v>4764</v>
      </c>
      <c r="H770" t="str">
        <f>INDEX([1]妻子表!$A:$A,MATCH(F770,[1]妻子表!$B:$B,0))</f>
        <v>ZA0092W01</v>
      </c>
      <c r="I770" t="str">
        <f>VLOOKUP(H770,[1]妻子表!$A:$D,4,0)</f>
        <v>刘氏</v>
      </c>
      <c r="J770" t="s">
        <v>4159</v>
      </c>
      <c r="M770" t="s">
        <v>4967</v>
      </c>
      <c r="N770" t="s">
        <v>1448</v>
      </c>
      <c r="O770" t="s">
        <v>4968</v>
      </c>
      <c r="P770" t="s">
        <v>224</v>
      </c>
      <c r="AA770" t="s">
        <v>4969</v>
      </c>
    </row>
    <row r="771" spans="1:27" x14ac:dyDescent="0.25">
      <c r="A771" t="s">
        <v>4970</v>
      </c>
      <c r="B771" t="s">
        <v>4971</v>
      </c>
      <c r="C771" t="s">
        <v>29</v>
      </c>
      <c r="D771" t="s">
        <v>870</v>
      </c>
      <c r="E771" t="s">
        <v>4158</v>
      </c>
      <c r="F771" t="s">
        <v>4763</v>
      </c>
      <c r="G771" t="s">
        <v>4764</v>
      </c>
      <c r="H771" t="str">
        <f>INDEX([1]妻子表!$A:$A,MATCH(F771,[1]妻子表!$B:$B,0))</f>
        <v>ZA0092W01</v>
      </c>
      <c r="I771" t="str">
        <f>VLOOKUP(H771,[1]妻子表!$A:$D,4,0)</f>
        <v>刘氏</v>
      </c>
      <c r="J771" t="s">
        <v>4159</v>
      </c>
      <c r="K771" t="s">
        <v>4972</v>
      </c>
      <c r="L771" t="s">
        <v>493</v>
      </c>
      <c r="M771" t="s">
        <v>4973</v>
      </c>
      <c r="N771" t="s">
        <v>1099</v>
      </c>
      <c r="O771" t="s">
        <v>4974</v>
      </c>
      <c r="P771" t="s">
        <v>315</v>
      </c>
      <c r="Q771" t="s">
        <v>4975</v>
      </c>
      <c r="R771" t="s">
        <v>2283</v>
      </c>
      <c r="S771" t="s">
        <v>4976</v>
      </c>
      <c r="T771" s="2" t="s">
        <v>4977</v>
      </c>
      <c r="U771" t="s">
        <v>38</v>
      </c>
      <c r="AA771" t="s">
        <v>4978</v>
      </c>
    </row>
    <row r="772" spans="1:27" x14ac:dyDescent="0.25">
      <c r="A772" t="s">
        <v>4979</v>
      </c>
      <c r="B772" t="s">
        <v>4980</v>
      </c>
      <c r="C772" t="s">
        <v>29</v>
      </c>
      <c r="D772" t="s">
        <v>870</v>
      </c>
      <c r="E772" t="s">
        <v>4158</v>
      </c>
      <c r="F772" t="s">
        <v>4771</v>
      </c>
      <c r="G772" t="s">
        <v>4772</v>
      </c>
      <c r="H772" t="str">
        <f>INDEX([1]妻子表!$A:$A,MATCH(F772,[1]妻子表!$B:$B,0))</f>
        <v>ZA0093W01</v>
      </c>
      <c r="I772" t="str">
        <f>VLOOKUP(H772,[1]妻子表!$A:$D,4,0)</f>
        <v>寗氏</v>
      </c>
      <c r="J772" t="s">
        <v>4159</v>
      </c>
      <c r="K772" t="s">
        <v>4981</v>
      </c>
      <c r="L772" t="s">
        <v>1055</v>
      </c>
      <c r="M772" t="s">
        <v>4982</v>
      </c>
      <c r="N772" t="s">
        <v>1275</v>
      </c>
      <c r="O772" t="s">
        <v>4983</v>
      </c>
      <c r="P772" t="s">
        <v>601</v>
      </c>
      <c r="Q772" t="s">
        <v>4984</v>
      </c>
      <c r="R772" t="s">
        <v>3616</v>
      </c>
      <c r="S772" t="s">
        <v>4985</v>
      </c>
      <c r="AA772" t="s">
        <v>4986</v>
      </c>
    </row>
    <row r="773" spans="1:27" x14ac:dyDescent="0.25">
      <c r="A773" t="s">
        <v>4987</v>
      </c>
      <c r="B773" t="s">
        <v>4988</v>
      </c>
      <c r="C773" t="s">
        <v>29</v>
      </c>
      <c r="D773" t="s">
        <v>870</v>
      </c>
      <c r="E773" t="s">
        <v>4158</v>
      </c>
      <c r="F773" t="s">
        <v>4771</v>
      </c>
      <c r="G773" t="s">
        <v>4772</v>
      </c>
      <c r="H773" t="str">
        <f>INDEX([1]妻子表!$A:$A,MATCH(F773,[1]妻子表!$B:$B,0))</f>
        <v>ZA0093W01</v>
      </c>
      <c r="I773" t="str">
        <f>VLOOKUP(H773,[1]妻子表!$A:$D,4,0)</f>
        <v>寗氏</v>
      </c>
      <c r="J773" t="s">
        <v>4159</v>
      </c>
      <c r="M773" t="s">
        <v>4989</v>
      </c>
      <c r="N773" t="s">
        <v>972</v>
      </c>
      <c r="O773" t="s">
        <v>4990</v>
      </c>
      <c r="P773" t="s">
        <v>184</v>
      </c>
      <c r="AA773" t="s">
        <v>4991</v>
      </c>
    </row>
    <row r="774" spans="1:27" x14ac:dyDescent="0.25">
      <c r="A774" t="s">
        <v>4992</v>
      </c>
      <c r="B774" t="s">
        <v>4993</v>
      </c>
      <c r="C774" t="s">
        <v>29</v>
      </c>
      <c r="D774" t="s">
        <v>870</v>
      </c>
      <c r="E774" t="s">
        <v>4158</v>
      </c>
      <c r="F774" t="s">
        <v>4780</v>
      </c>
      <c r="G774" t="s">
        <v>4781</v>
      </c>
      <c r="H774" t="str">
        <f>INDEX([1]妻子表!$A:$A,MATCH(F774,[1]妻子表!$B:$B,0))</f>
        <v>ZA0094W01</v>
      </c>
      <c r="I774" t="str">
        <f>VLOOKUP(H774,[1]妻子表!$A:$D,4,0)</f>
        <v>肖氏</v>
      </c>
      <c r="J774" t="s">
        <v>4159</v>
      </c>
      <c r="M774" t="s">
        <v>4994</v>
      </c>
      <c r="N774" t="s">
        <v>3215</v>
      </c>
      <c r="O774" t="s">
        <v>4995</v>
      </c>
      <c r="P774" t="s">
        <v>458</v>
      </c>
      <c r="T774" s="2" t="s">
        <v>4996</v>
      </c>
      <c r="AA774" t="s">
        <v>4997</v>
      </c>
    </row>
    <row r="775" spans="1:27" x14ac:dyDescent="0.25">
      <c r="A775" t="s">
        <v>4998</v>
      </c>
      <c r="B775" t="s">
        <v>4999</v>
      </c>
      <c r="C775" t="s">
        <v>29</v>
      </c>
      <c r="D775" t="s">
        <v>870</v>
      </c>
      <c r="E775" t="s">
        <v>4158</v>
      </c>
      <c r="F775" t="s">
        <v>4780</v>
      </c>
      <c r="G775" t="s">
        <v>4781</v>
      </c>
      <c r="H775" t="str">
        <f>INDEX([1]妻子表!$A:$A,MATCH(F775,[1]妻子表!$B:$B,0))</f>
        <v>ZA0094W01</v>
      </c>
      <c r="I775" t="str">
        <f>VLOOKUP(H775,[1]妻子表!$A:$D,4,0)</f>
        <v>肖氏</v>
      </c>
      <c r="J775" t="s">
        <v>4159</v>
      </c>
      <c r="M775" t="s">
        <v>5000</v>
      </c>
      <c r="N775" t="s">
        <v>1438</v>
      </c>
      <c r="O775" t="s">
        <v>5001</v>
      </c>
      <c r="P775" t="s">
        <v>601</v>
      </c>
      <c r="T775" s="2" t="s">
        <v>5002</v>
      </c>
      <c r="AA775" t="s">
        <v>5003</v>
      </c>
    </row>
    <row r="776" spans="1:27" x14ac:dyDescent="0.25">
      <c r="A776" t="s">
        <v>5004</v>
      </c>
      <c r="B776" t="s">
        <v>5005</v>
      </c>
      <c r="C776" t="s">
        <v>29</v>
      </c>
      <c r="D776" t="s">
        <v>870</v>
      </c>
      <c r="E776" t="s">
        <v>4158</v>
      </c>
      <c r="F776" t="s">
        <v>4798</v>
      </c>
      <c r="G776" t="s">
        <v>4799</v>
      </c>
      <c r="J776" t="s">
        <v>4159</v>
      </c>
      <c r="M776" t="s">
        <v>5006</v>
      </c>
      <c r="N776" t="s">
        <v>2050</v>
      </c>
      <c r="O776" t="s">
        <v>5007</v>
      </c>
      <c r="P776" t="s">
        <v>169</v>
      </c>
      <c r="AA776" t="s">
        <v>5008</v>
      </c>
    </row>
    <row r="777" spans="1:27" x14ac:dyDescent="0.25">
      <c r="A777" t="s">
        <v>5009</v>
      </c>
      <c r="B777" t="s">
        <v>5010</v>
      </c>
      <c r="C777" t="s">
        <v>29</v>
      </c>
      <c r="D777" t="s">
        <v>870</v>
      </c>
      <c r="E777" t="s">
        <v>4158</v>
      </c>
      <c r="F777" t="s">
        <v>4805</v>
      </c>
      <c r="G777" t="s">
        <v>4806</v>
      </c>
      <c r="H777" t="str">
        <f>INDEX([1]妻子表!$A:$A,MATCH(F777,[1]妻子表!$B:$B,0))</f>
        <v>ZA0097W01</v>
      </c>
      <c r="I777" t="str">
        <f>VLOOKUP(H777,[1]妻子表!$A:$D,4,0)</f>
        <v>何氏</v>
      </c>
      <c r="J777" t="s">
        <v>4159</v>
      </c>
      <c r="M777" t="s">
        <v>5011</v>
      </c>
      <c r="N777" t="s">
        <v>2018</v>
      </c>
      <c r="O777" t="s">
        <v>5012</v>
      </c>
      <c r="P777" t="s">
        <v>458</v>
      </c>
      <c r="AA777" t="s">
        <v>5013</v>
      </c>
    </row>
    <row r="778" spans="1:27" x14ac:dyDescent="0.25">
      <c r="A778" t="s">
        <v>5014</v>
      </c>
      <c r="B778" t="s">
        <v>5015</v>
      </c>
      <c r="C778" t="s">
        <v>29</v>
      </c>
      <c r="D778" t="s">
        <v>1846</v>
      </c>
      <c r="E778" t="s">
        <v>4158</v>
      </c>
      <c r="F778" t="s">
        <v>4827</v>
      </c>
      <c r="G778" t="s">
        <v>4828</v>
      </c>
      <c r="H778" t="str">
        <f>INDEX([1]妻子表!$A:$A,MATCH(F778,[1]妻子表!$B:$B,0))</f>
        <v>ZA0102W01</v>
      </c>
      <c r="I778" t="str">
        <f>VLOOKUP(H778,[1]妻子表!$A:$D,4,0)</f>
        <v>彭氏</v>
      </c>
      <c r="J778" t="s">
        <v>4159</v>
      </c>
      <c r="M778" t="s">
        <v>5016</v>
      </c>
      <c r="N778" t="s">
        <v>1915</v>
      </c>
      <c r="O778" t="s">
        <v>5017</v>
      </c>
      <c r="P778" t="s">
        <v>200</v>
      </c>
      <c r="AA778" t="s">
        <v>5018</v>
      </c>
    </row>
    <row r="779" spans="1:27" x14ac:dyDescent="0.25">
      <c r="A779" t="s">
        <v>5019</v>
      </c>
      <c r="B779" t="s">
        <v>5020</v>
      </c>
      <c r="C779" t="s">
        <v>29</v>
      </c>
      <c r="D779" t="s">
        <v>1846</v>
      </c>
      <c r="E779" t="s">
        <v>4158</v>
      </c>
      <c r="F779" t="s">
        <v>4827</v>
      </c>
      <c r="G779" t="s">
        <v>4828</v>
      </c>
      <c r="H779" t="str">
        <f>INDEX([1]妻子表!$A:$A,MATCH(F779,[1]妻子表!$B:$B,0))</f>
        <v>ZA0102W01</v>
      </c>
      <c r="I779" t="str">
        <f>VLOOKUP(H779,[1]妻子表!$A:$D,4,0)</f>
        <v>彭氏</v>
      </c>
      <c r="J779" t="s">
        <v>4159</v>
      </c>
      <c r="M779" t="s">
        <v>5021</v>
      </c>
      <c r="N779" t="s">
        <v>2942</v>
      </c>
      <c r="O779" t="s">
        <v>5022</v>
      </c>
      <c r="P779" t="s">
        <v>601</v>
      </c>
      <c r="AA779" t="s">
        <v>5023</v>
      </c>
    </row>
    <row r="780" spans="1:27" x14ac:dyDescent="0.25">
      <c r="A780" t="s">
        <v>5024</v>
      </c>
      <c r="B780" t="s">
        <v>5025</v>
      </c>
      <c r="C780" t="s">
        <v>29</v>
      </c>
      <c r="D780" t="s">
        <v>1846</v>
      </c>
      <c r="E780" t="s">
        <v>4158</v>
      </c>
      <c r="F780" t="s">
        <v>4834</v>
      </c>
      <c r="G780" t="s">
        <v>4835</v>
      </c>
      <c r="H780" t="str">
        <f>INDEX([1]妻子表!$A:$A,MATCH(F780,[1]妻子表!$B:$B,0))</f>
        <v>ZA0103W01</v>
      </c>
      <c r="I780" t="str">
        <f>VLOOKUP(H780,[1]妻子表!$A:$D,4,0)</f>
        <v>刘氏</v>
      </c>
      <c r="J780" t="s">
        <v>4159</v>
      </c>
      <c r="K780" t="s">
        <v>5026</v>
      </c>
      <c r="L780" t="s">
        <v>2338</v>
      </c>
      <c r="M780" t="s">
        <v>5027</v>
      </c>
      <c r="N780" t="s">
        <v>1036</v>
      </c>
      <c r="O780" t="s">
        <v>5028</v>
      </c>
      <c r="P780" t="s">
        <v>108</v>
      </c>
      <c r="Q780" t="s">
        <v>5029</v>
      </c>
      <c r="R780" t="s">
        <v>1295</v>
      </c>
      <c r="S780" t="s">
        <v>5030</v>
      </c>
      <c r="T780" s="2" t="s">
        <v>5031</v>
      </c>
      <c r="U780" t="s">
        <v>174</v>
      </c>
      <c r="AA780" t="s">
        <v>5032</v>
      </c>
    </row>
    <row r="781" spans="1:27" x14ac:dyDescent="0.25">
      <c r="A781" t="s">
        <v>5033</v>
      </c>
      <c r="B781" t="s">
        <v>5034</v>
      </c>
      <c r="C781" t="s">
        <v>29</v>
      </c>
      <c r="D781" t="s">
        <v>1846</v>
      </c>
      <c r="E781" t="s">
        <v>4158</v>
      </c>
      <c r="F781" t="s">
        <v>4834</v>
      </c>
      <c r="G781" t="s">
        <v>4835</v>
      </c>
      <c r="H781" t="str">
        <f>INDEX([1]妻子表!$A:$A,MATCH(F781,[1]妻子表!$B:$B,0))</f>
        <v>ZA0103W01</v>
      </c>
      <c r="I781" t="str">
        <f>VLOOKUP(H781,[1]妻子表!$A:$D,4,0)</f>
        <v>刘氏</v>
      </c>
      <c r="J781" t="s">
        <v>4159</v>
      </c>
      <c r="M781" t="s">
        <v>5035</v>
      </c>
      <c r="N781" t="s">
        <v>1275</v>
      </c>
      <c r="O781" t="s">
        <v>69</v>
      </c>
      <c r="P781" t="s">
        <v>601</v>
      </c>
      <c r="AA781" t="s">
        <v>5036</v>
      </c>
    </row>
    <row r="782" spans="1:27" x14ac:dyDescent="0.25">
      <c r="A782" t="s">
        <v>5037</v>
      </c>
      <c r="B782" t="s">
        <v>5038</v>
      </c>
      <c r="C782" t="s">
        <v>29</v>
      </c>
      <c r="D782" t="s">
        <v>1846</v>
      </c>
      <c r="E782" t="s">
        <v>4158</v>
      </c>
      <c r="F782" t="s">
        <v>4854</v>
      </c>
      <c r="G782" t="s">
        <v>4855</v>
      </c>
      <c r="H782" t="str">
        <f>INDEX([1]妻子表!$A:$A,MATCH(F782,[1]妻子表!$B:$B,0))</f>
        <v>ZA0107W01</v>
      </c>
      <c r="I782" t="str">
        <f>VLOOKUP(H782,[1]妻子表!$A:$D,4,0)</f>
        <v>王氏</v>
      </c>
      <c r="J782" t="s">
        <v>4159</v>
      </c>
      <c r="AA782" t="s">
        <v>5039</v>
      </c>
    </row>
    <row r="783" spans="1:27" x14ac:dyDescent="0.25">
      <c r="A783" t="s">
        <v>5040</v>
      </c>
      <c r="B783" t="s">
        <v>5041</v>
      </c>
      <c r="C783" t="s">
        <v>29</v>
      </c>
      <c r="D783" t="s">
        <v>1846</v>
      </c>
      <c r="E783" t="s">
        <v>4158</v>
      </c>
      <c r="F783" t="s">
        <v>4854</v>
      </c>
      <c r="G783" t="s">
        <v>4855</v>
      </c>
      <c r="H783" t="str">
        <f>INDEX([1]妻子表!$A:$A,MATCH(F783,[1]妻子表!$B:$B,0))</f>
        <v>ZA0107W01</v>
      </c>
      <c r="I783" t="str">
        <f>VLOOKUP(H783,[1]妻子表!$A:$D,4,0)</f>
        <v>王氏</v>
      </c>
      <c r="J783" t="s">
        <v>4159</v>
      </c>
      <c r="AA783" t="s">
        <v>5042</v>
      </c>
    </row>
    <row r="784" spans="1:27" x14ac:dyDescent="0.25">
      <c r="A784" t="s">
        <v>5043</v>
      </c>
      <c r="B784" t="s">
        <v>5044</v>
      </c>
      <c r="C784" t="s">
        <v>29</v>
      </c>
      <c r="D784" t="s">
        <v>1846</v>
      </c>
      <c r="E784" t="s">
        <v>4158</v>
      </c>
      <c r="F784" t="s">
        <v>4854</v>
      </c>
      <c r="G784" t="s">
        <v>4855</v>
      </c>
      <c r="H784" t="str">
        <f>INDEX([1]妻子表!$A:$A,MATCH(F784,[1]妻子表!$B:$B,0))</f>
        <v>ZA0107W01</v>
      </c>
      <c r="I784" t="str">
        <f>VLOOKUP(H784,[1]妻子表!$A:$D,4,0)</f>
        <v>王氏</v>
      </c>
      <c r="J784" t="s">
        <v>4159</v>
      </c>
      <c r="AA784" t="s">
        <v>5045</v>
      </c>
    </row>
    <row r="785" spans="1:27" x14ac:dyDescent="0.25">
      <c r="A785" t="s">
        <v>5046</v>
      </c>
      <c r="B785" t="s">
        <v>5047</v>
      </c>
      <c r="C785" t="s">
        <v>29</v>
      </c>
      <c r="D785" t="s">
        <v>1846</v>
      </c>
      <c r="E785" t="s">
        <v>4158</v>
      </c>
      <c r="F785" t="s">
        <v>4854</v>
      </c>
      <c r="G785" t="s">
        <v>4855</v>
      </c>
      <c r="H785" t="str">
        <f>INDEX([1]妻子表!$A:$A,MATCH(F785,[1]妻子表!$B:$B,0))</f>
        <v>ZA0107W01</v>
      </c>
      <c r="I785" t="str">
        <f>VLOOKUP(H785,[1]妻子表!$A:$D,4,0)</f>
        <v>王氏</v>
      </c>
      <c r="J785" t="s">
        <v>4159</v>
      </c>
      <c r="AA785" t="s">
        <v>5048</v>
      </c>
    </row>
    <row r="786" spans="1:27" x14ac:dyDescent="0.25">
      <c r="A786" t="s">
        <v>5049</v>
      </c>
      <c r="B786" t="s">
        <v>5050</v>
      </c>
      <c r="C786" t="s">
        <v>29</v>
      </c>
      <c r="D786" t="s">
        <v>1846</v>
      </c>
      <c r="E786" t="s">
        <v>4158</v>
      </c>
      <c r="F786" t="s">
        <v>4854</v>
      </c>
      <c r="G786" t="s">
        <v>4855</v>
      </c>
      <c r="H786" t="str">
        <f>INDEX([1]妻子表!$A:$A,MATCH(F786,[1]妻子表!$B:$B,0))</f>
        <v>ZA0107W01</v>
      </c>
      <c r="I786" t="str">
        <f>VLOOKUP(H786,[1]妻子表!$A:$D,4,0)</f>
        <v>王氏</v>
      </c>
      <c r="J786" t="s">
        <v>4159</v>
      </c>
      <c r="AA786" t="s">
        <v>1760</v>
      </c>
    </row>
    <row r="787" spans="1:27" x14ac:dyDescent="0.25">
      <c r="A787" t="s">
        <v>5051</v>
      </c>
      <c r="B787" t="s">
        <v>5052</v>
      </c>
      <c r="C787" t="s">
        <v>29</v>
      </c>
      <c r="D787" t="s">
        <v>1846</v>
      </c>
      <c r="E787" t="s">
        <v>4158</v>
      </c>
      <c r="F787" t="s">
        <v>4864</v>
      </c>
      <c r="G787" t="s">
        <v>4865</v>
      </c>
      <c r="H787" t="str">
        <f>INDEX([1]妻子表!$A:$A,MATCH(F787,[1]妻子表!$B:$B,0))</f>
        <v>ZA0109W01</v>
      </c>
      <c r="I787" t="str">
        <f>VLOOKUP(H787,[1]妻子表!$A:$D,4,0)</f>
        <v>彭氏</v>
      </c>
      <c r="J787" t="s">
        <v>4159</v>
      </c>
      <c r="M787" t="s">
        <v>5053</v>
      </c>
      <c r="N787" t="s">
        <v>1099</v>
      </c>
      <c r="O787" t="s">
        <v>4384</v>
      </c>
      <c r="P787" t="s">
        <v>315</v>
      </c>
      <c r="T787" s="2" t="s">
        <v>5054</v>
      </c>
      <c r="U787" t="s">
        <v>95</v>
      </c>
      <c r="AA787" t="s">
        <v>5055</v>
      </c>
    </row>
    <row r="788" spans="1:27" x14ac:dyDescent="0.25">
      <c r="A788" t="s">
        <v>5056</v>
      </c>
      <c r="B788" t="s">
        <v>5057</v>
      </c>
      <c r="C788" t="s">
        <v>29</v>
      </c>
      <c r="D788" t="s">
        <v>1846</v>
      </c>
      <c r="E788" t="s">
        <v>4158</v>
      </c>
      <c r="F788" t="s">
        <v>4864</v>
      </c>
      <c r="G788" t="s">
        <v>4865</v>
      </c>
      <c r="H788" t="str">
        <f>INDEX([1]妻子表!$A:$A,MATCH(F788,[1]妻子表!$B:$B,0))</f>
        <v>ZA0109W01</v>
      </c>
      <c r="I788" t="str">
        <f>VLOOKUP(H788,[1]妻子表!$A:$D,4,0)</f>
        <v>彭氏</v>
      </c>
      <c r="J788" t="s">
        <v>4159</v>
      </c>
      <c r="M788" t="s">
        <v>5058</v>
      </c>
      <c r="N788" t="s">
        <v>2018</v>
      </c>
      <c r="O788" t="s">
        <v>5059</v>
      </c>
      <c r="P788" t="s">
        <v>458</v>
      </c>
      <c r="AA788" t="s">
        <v>5060</v>
      </c>
    </row>
    <row r="789" spans="1:27" x14ac:dyDescent="0.25">
      <c r="A789" t="s">
        <v>5061</v>
      </c>
      <c r="B789" t="s">
        <v>5062</v>
      </c>
      <c r="C789" t="s">
        <v>29</v>
      </c>
      <c r="D789" t="s">
        <v>1846</v>
      </c>
      <c r="E789" t="s">
        <v>4158</v>
      </c>
      <c r="F789" t="s">
        <v>4864</v>
      </c>
      <c r="G789" t="s">
        <v>4865</v>
      </c>
      <c r="H789" t="str">
        <f>INDEX([1]妻子表!$A:$A,MATCH(F789,[1]妻子表!$B:$B,0))</f>
        <v>ZA0109W01</v>
      </c>
      <c r="I789" t="str">
        <f>VLOOKUP(H789,[1]妻子表!$A:$D,4,0)</f>
        <v>彭氏</v>
      </c>
      <c r="J789" t="s">
        <v>4159</v>
      </c>
      <c r="M789" t="s">
        <v>5063</v>
      </c>
      <c r="N789" t="s">
        <v>2162</v>
      </c>
      <c r="O789" t="s">
        <v>5064</v>
      </c>
      <c r="P789" t="s">
        <v>601</v>
      </c>
      <c r="AA789" t="s">
        <v>5065</v>
      </c>
    </row>
    <row r="790" spans="1:27" x14ac:dyDescent="0.25">
      <c r="A790" t="s">
        <v>5066</v>
      </c>
      <c r="B790" t="s">
        <v>5067</v>
      </c>
      <c r="C790" t="s">
        <v>29</v>
      </c>
      <c r="D790" t="s">
        <v>1846</v>
      </c>
      <c r="E790" t="s">
        <v>4158</v>
      </c>
      <c r="F790" t="s">
        <v>4864</v>
      </c>
      <c r="G790" t="s">
        <v>4865</v>
      </c>
      <c r="H790" t="str">
        <f>INDEX([1]妻子表!$A:$A,MATCH(F790,[1]妻子表!$B:$B,0))</f>
        <v>ZA0109W01</v>
      </c>
      <c r="I790" t="str">
        <f>VLOOKUP(H790,[1]妻子表!$A:$D,4,0)</f>
        <v>彭氏</v>
      </c>
      <c r="J790" t="s">
        <v>4159</v>
      </c>
      <c r="M790" t="s">
        <v>5068</v>
      </c>
      <c r="N790" t="s">
        <v>1295</v>
      </c>
      <c r="O790" t="s">
        <v>5069</v>
      </c>
      <c r="P790" t="s">
        <v>224</v>
      </c>
      <c r="AA790" t="s">
        <v>5070</v>
      </c>
    </row>
    <row r="791" spans="1:27" x14ac:dyDescent="0.25">
      <c r="A791" t="s">
        <v>5071</v>
      </c>
      <c r="B791" t="s">
        <v>5072</v>
      </c>
      <c r="C791" t="s">
        <v>29</v>
      </c>
      <c r="D791" t="s">
        <v>1846</v>
      </c>
      <c r="E791" t="s">
        <v>4158</v>
      </c>
      <c r="F791" t="s">
        <v>4872</v>
      </c>
      <c r="G791" t="s">
        <v>4873</v>
      </c>
      <c r="H791" t="str">
        <f>INDEX([1]妻子表!$A:$A,MATCH(F791,[1]妻子表!$B:$B,0))</f>
        <v>ZA0110W01</v>
      </c>
      <c r="I791" t="str">
        <f>VLOOKUP(H791,[1]妻子表!$A:$D,4,0)</f>
        <v>陈氏</v>
      </c>
      <c r="J791" t="s">
        <v>4159</v>
      </c>
      <c r="M791" t="s">
        <v>5073</v>
      </c>
      <c r="N791" t="s">
        <v>1266</v>
      </c>
      <c r="O791" t="s">
        <v>5074</v>
      </c>
      <c r="P791" t="s">
        <v>240</v>
      </c>
      <c r="T791" s="2" t="s">
        <v>5075</v>
      </c>
      <c r="U791" t="s">
        <v>275</v>
      </c>
      <c r="AA791" t="s">
        <v>5076</v>
      </c>
    </row>
    <row r="792" spans="1:27" x14ac:dyDescent="0.25">
      <c r="A792" t="s">
        <v>5077</v>
      </c>
      <c r="B792" t="s">
        <v>5078</v>
      </c>
      <c r="C792" t="s">
        <v>29</v>
      </c>
      <c r="D792" t="s">
        <v>1846</v>
      </c>
      <c r="E792" t="s">
        <v>4158</v>
      </c>
      <c r="F792" t="s">
        <v>4879</v>
      </c>
      <c r="G792" t="s">
        <v>4880</v>
      </c>
      <c r="H792" t="str">
        <f>INDEX([1]妻子表!$A:$A,MATCH(F792,[1]妻子表!$B:$B,0))</f>
        <v>ZA0111W01</v>
      </c>
      <c r="I792" t="str">
        <f>VLOOKUP(H792,[1]妻子表!$A:$D,4,0)</f>
        <v>刘氏</v>
      </c>
      <c r="J792" t="s">
        <v>4159</v>
      </c>
    </row>
    <row r="793" spans="1:27" x14ac:dyDescent="0.25">
      <c r="A793" t="s">
        <v>5079</v>
      </c>
      <c r="B793" t="s">
        <v>5080</v>
      </c>
      <c r="C793" t="s">
        <v>29</v>
      </c>
      <c r="D793" t="s">
        <v>1846</v>
      </c>
      <c r="E793" t="s">
        <v>4158</v>
      </c>
      <c r="F793" t="s">
        <v>4879</v>
      </c>
      <c r="G793" t="s">
        <v>4880</v>
      </c>
      <c r="H793" t="str">
        <f>INDEX([1]妻子表!$A:$A,MATCH(F793,[1]妻子表!$B:$B,0))</f>
        <v>ZA0111W01</v>
      </c>
      <c r="I793" t="str">
        <f>VLOOKUP(H793,[1]妻子表!$A:$D,4,0)</f>
        <v>刘氏</v>
      </c>
      <c r="J793" t="s">
        <v>4159</v>
      </c>
      <c r="M793" t="s">
        <v>5081</v>
      </c>
      <c r="N793" t="s">
        <v>2998</v>
      </c>
      <c r="O793" t="s">
        <v>5082</v>
      </c>
      <c r="P793" t="s">
        <v>257</v>
      </c>
      <c r="AA793" t="s">
        <v>5083</v>
      </c>
    </row>
    <row r="794" spans="1:27" x14ac:dyDescent="0.25">
      <c r="A794" t="s">
        <v>5084</v>
      </c>
      <c r="B794" t="s">
        <v>5085</v>
      </c>
      <c r="C794" t="s">
        <v>29</v>
      </c>
      <c r="D794" t="s">
        <v>1846</v>
      </c>
      <c r="E794" t="s">
        <v>4158</v>
      </c>
      <c r="F794" t="s">
        <v>4879</v>
      </c>
      <c r="G794" t="s">
        <v>4880</v>
      </c>
      <c r="H794" t="str">
        <f>INDEX([1]妻子表!$A:$A,MATCH(F794,[1]妻子表!$B:$B,0))</f>
        <v>ZA0111W01</v>
      </c>
      <c r="I794" t="str">
        <f>VLOOKUP(H794,[1]妻子表!$A:$D,4,0)</f>
        <v>刘氏</v>
      </c>
      <c r="J794" t="s">
        <v>4159</v>
      </c>
      <c r="M794" t="s">
        <v>5086</v>
      </c>
      <c r="N794" t="s">
        <v>1754</v>
      </c>
      <c r="O794" t="s">
        <v>5087</v>
      </c>
      <c r="P794" t="s">
        <v>315</v>
      </c>
      <c r="T794" s="2" t="s">
        <v>5088</v>
      </c>
      <c r="U794" t="s">
        <v>174</v>
      </c>
      <c r="AA794" t="s">
        <v>5089</v>
      </c>
    </row>
    <row r="795" spans="1:27" x14ac:dyDescent="0.25">
      <c r="A795" t="s">
        <v>5090</v>
      </c>
      <c r="B795" t="s">
        <v>5091</v>
      </c>
      <c r="C795" t="s">
        <v>29</v>
      </c>
      <c r="D795" t="s">
        <v>1846</v>
      </c>
      <c r="E795" t="s">
        <v>4158</v>
      </c>
      <c r="F795" t="s">
        <v>4879</v>
      </c>
      <c r="G795" t="s">
        <v>4880</v>
      </c>
      <c r="H795" t="str">
        <f>INDEX([1]妻子表!$A:$A,MATCH(F795,[1]妻子表!$B:$B,0))</f>
        <v>ZA0111W01</v>
      </c>
      <c r="I795" t="str">
        <f>VLOOKUP(H795,[1]妻子表!$A:$D,4,0)</f>
        <v>刘氏</v>
      </c>
      <c r="J795" t="s">
        <v>4159</v>
      </c>
      <c r="M795" t="s">
        <v>5092</v>
      </c>
      <c r="N795" t="s">
        <v>1939</v>
      </c>
      <c r="O795" t="s">
        <v>5093</v>
      </c>
      <c r="P795" t="s">
        <v>169</v>
      </c>
      <c r="AA795" t="s">
        <v>5094</v>
      </c>
    </row>
    <row r="796" spans="1:27" x14ac:dyDescent="0.25">
      <c r="A796" t="s">
        <v>5095</v>
      </c>
      <c r="B796" t="s">
        <v>5096</v>
      </c>
      <c r="C796" t="s">
        <v>29</v>
      </c>
      <c r="D796" t="s">
        <v>1846</v>
      </c>
      <c r="E796" t="s">
        <v>4158</v>
      </c>
      <c r="F796" t="s">
        <v>4886</v>
      </c>
      <c r="G796" t="s">
        <v>4887</v>
      </c>
      <c r="H796" t="str">
        <f>INDEX([1]妻子表!$A:$A,MATCH(F796,[1]妻子表!$B:$B,0))</f>
        <v>ZA0112W01</v>
      </c>
      <c r="I796" t="str">
        <f>VLOOKUP(H796,[1]妻子表!$A:$D,4,0)</f>
        <v>肖氏</v>
      </c>
      <c r="J796" t="s">
        <v>4159</v>
      </c>
    </row>
    <row r="797" spans="1:27" x14ac:dyDescent="0.25">
      <c r="A797" t="s">
        <v>5097</v>
      </c>
      <c r="B797" t="s">
        <v>5098</v>
      </c>
      <c r="C797" t="s">
        <v>29</v>
      </c>
      <c r="D797" t="s">
        <v>1846</v>
      </c>
      <c r="E797" t="s">
        <v>4158</v>
      </c>
      <c r="F797" t="s">
        <v>4894</v>
      </c>
      <c r="G797" t="s">
        <v>4895</v>
      </c>
      <c r="H797" t="str">
        <f>INDEX([1]妻子表!$A:$A,MATCH(F797,[1]妻子表!$B:$B,0))</f>
        <v>ZA0113W01</v>
      </c>
      <c r="I797" t="str">
        <f>VLOOKUP(H797,[1]妻子表!$A:$D,4,0)</f>
        <v>刘氏</v>
      </c>
      <c r="J797" t="s">
        <v>4159</v>
      </c>
    </row>
    <row r="798" spans="1:27" x14ac:dyDescent="0.25">
      <c r="A798" t="s">
        <v>5099</v>
      </c>
      <c r="B798" t="s">
        <v>5100</v>
      </c>
      <c r="C798" t="s">
        <v>29</v>
      </c>
      <c r="D798" t="s">
        <v>1846</v>
      </c>
      <c r="E798" t="s">
        <v>4158</v>
      </c>
      <c r="F798" t="s">
        <v>4918</v>
      </c>
      <c r="G798" t="s">
        <v>4919</v>
      </c>
      <c r="H798" t="str">
        <f>INDEX([1]妻子表!$A:$A,MATCH(F798,[1]妻子表!$B:$B,0))</f>
        <v>ZA0118W01</v>
      </c>
      <c r="I798" t="str">
        <f>VLOOKUP(H798,[1]妻子表!$A:$D,4,0)</f>
        <v>肖氏</v>
      </c>
      <c r="J798" t="s">
        <v>4159</v>
      </c>
      <c r="M798" t="s">
        <v>1620</v>
      </c>
      <c r="N798" t="s">
        <v>1284</v>
      </c>
      <c r="O798" t="s">
        <v>203</v>
      </c>
      <c r="P798" t="s">
        <v>497</v>
      </c>
      <c r="AA798" t="s">
        <v>5101</v>
      </c>
    </row>
    <row r="799" spans="1:27" x14ac:dyDescent="0.25">
      <c r="A799" t="s">
        <v>5102</v>
      </c>
      <c r="B799" t="s">
        <v>5103</v>
      </c>
      <c r="C799" t="s">
        <v>29</v>
      </c>
      <c r="D799" t="s">
        <v>1846</v>
      </c>
      <c r="E799" t="s">
        <v>4158</v>
      </c>
      <c r="F799" t="s">
        <v>4930</v>
      </c>
      <c r="G799" t="s">
        <v>4931</v>
      </c>
      <c r="H799" t="str">
        <f>INDEX([1]妻子表!$A:$A,MATCH(F799,[1]妻子表!$B:$B,0))</f>
        <v>ZA0120W01</v>
      </c>
      <c r="I799" t="str">
        <f>VLOOKUP(H799,[1]妻子表!$A:$D,4,0)</f>
        <v>彭氏</v>
      </c>
      <c r="J799" t="s">
        <v>4159</v>
      </c>
      <c r="M799" t="s">
        <v>5104</v>
      </c>
      <c r="N799" t="s">
        <v>1492</v>
      </c>
      <c r="O799" t="s">
        <v>5105</v>
      </c>
      <c r="P799" t="s">
        <v>240</v>
      </c>
      <c r="T799" s="2" t="s">
        <v>5106</v>
      </c>
      <c r="U799" t="s">
        <v>777</v>
      </c>
      <c r="AA799" t="s">
        <v>5107</v>
      </c>
    </row>
    <row r="800" spans="1:27" x14ac:dyDescent="0.25">
      <c r="A800" t="s">
        <v>5108</v>
      </c>
      <c r="B800" t="s">
        <v>5109</v>
      </c>
      <c r="C800" t="s">
        <v>29</v>
      </c>
      <c r="D800" t="s">
        <v>1846</v>
      </c>
      <c r="E800" t="s">
        <v>4158</v>
      </c>
      <c r="F800" t="s">
        <v>4937</v>
      </c>
      <c r="G800" t="s">
        <v>4938</v>
      </c>
      <c r="J800" t="s">
        <v>4159</v>
      </c>
    </row>
    <row r="801" spans="1:27" x14ac:dyDescent="0.25">
      <c r="A801" t="s">
        <v>5110</v>
      </c>
      <c r="B801" t="s">
        <v>5111</v>
      </c>
      <c r="C801" t="s">
        <v>29</v>
      </c>
      <c r="D801" t="s">
        <v>1846</v>
      </c>
      <c r="E801" t="s">
        <v>4158</v>
      </c>
      <c r="F801" t="s">
        <v>4942</v>
      </c>
      <c r="G801" t="s">
        <v>4943</v>
      </c>
      <c r="H801" t="str">
        <f>INDEX([1]妻子表!$A:$A,MATCH(F801,[1]妻子表!$B:$B,0))</f>
        <v>ZA0122W01</v>
      </c>
      <c r="I801" t="str">
        <f>VLOOKUP(H801,[1]妻子表!$A:$D,4,0)</f>
        <v>谭氏</v>
      </c>
      <c r="J801" t="s">
        <v>4159</v>
      </c>
      <c r="M801" t="s">
        <v>5112</v>
      </c>
      <c r="N801" t="s">
        <v>2162</v>
      </c>
      <c r="O801" t="s">
        <v>5113</v>
      </c>
      <c r="P801" t="s">
        <v>601</v>
      </c>
      <c r="T801" s="2" t="s">
        <v>5114</v>
      </c>
      <c r="U801" t="s">
        <v>777</v>
      </c>
      <c r="AA801" t="s">
        <v>5115</v>
      </c>
    </row>
    <row r="802" spans="1:27" x14ac:dyDescent="0.25">
      <c r="A802" t="s">
        <v>5116</v>
      </c>
      <c r="B802" t="s">
        <v>5117</v>
      </c>
      <c r="C802" t="s">
        <v>29</v>
      </c>
      <c r="D802" t="s">
        <v>1846</v>
      </c>
      <c r="E802" t="s">
        <v>4158</v>
      </c>
      <c r="F802" t="s">
        <v>4950</v>
      </c>
      <c r="G802" t="s">
        <v>4951</v>
      </c>
      <c r="H802" t="str">
        <f>INDEX([1]妻子表!$A:$A,MATCH(F802,[1]妻子表!$B:$B,0))</f>
        <v>ZA0123W01</v>
      </c>
      <c r="I802" t="str">
        <f>VLOOKUP(H802,[1]妻子表!$A:$D,4,0)</f>
        <v>欧阳氏</v>
      </c>
      <c r="J802" t="s">
        <v>4159</v>
      </c>
      <c r="M802" t="s">
        <v>5118</v>
      </c>
      <c r="N802" t="s">
        <v>1473</v>
      </c>
      <c r="O802" t="s">
        <v>5119</v>
      </c>
      <c r="P802" t="s">
        <v>407</v>
      </c>
      <c r="AA802" t="s">
        <v>5120</v>
      </c>
    </row>
    <row r="803" spans="1:27" x14ac:dyDescent="0.25">
      <c r="A803" t="s">
        <v>5121</v>
      </c>
      <c r="B803" t="s">
        <v>5122</v>
      </c>
      <c r="C803" t="s">
        <v>29</v>
      </c>
      <c r="D803" t="s">
        <v>1846</v>
      </c>
      <c r="E803" t="s">
        <v>4158</v>
      </c>
      <c r="F803" t="s">
        <v>4950</v>
      </c>
      <c r="G803" t="s">
        <v>4951</v>
      </c>
      <c r="H803" t="str">
        <f>INDEX([1]妻子表!$A:$A,MATCH(F803,[1]妻子表!$B:$B,0))</f>
        <v>ZA0123W01</v>
      </c>
      <c r="I803" t="str">
        <f>VLOOKUP(H803,[1]妻子表!$A:$D,4,0)</f>
        <v>欧阳氏</v>
      </c>
      <c r="J803" t="s">
        <v>4159</v>
      </c>
      <c r="M803" t="s">
        <v>5123</v>
      </c>
      <c r="N803" t="s">
        <v>1868</v>
      </c>
      <c r="O803" t="s">
        <v>5124</v>
      </c>
      <c r="P803" t="s">
        <v>458</v>
      </c>
      <c r="T803" s="2" t="s">
        <v>5125</v>
      </c>
      <c r="U803" t="s">
        <v>1206</v>
      </c>
      <c r="AA803" t="s">
        <v>5126</v>
      </c>
    </row>
    <row r="804" spans="1:27" x14ac:dyDescent="0.25">
      <c r="A804" t="s">
        <v>5127</v>
      </c>
      <c r="B804" t="s">
        <v>5128</v>
      </c>
      <c r="C804" t="s">
        <v>29</v>
      </c>
      <c r="D804" t="s">
        <v>1846</v>
      </c>
      <c r="E804" t="s">
        <v>4158</v>
      </c>
      <c r="F804" t="s">
        <v>4950</v>
      </c>
      <c r="G804" t="s">
        <v>4951</v>
      </c>
      <c r="H804" t="str">
        <f>INDEX([1]妻子表!$A:$A,MATCH(F804,[1]妻子表!$B:$B,0))</f>
        <v>ZA0123W01</v>
      </c>
      <c r="I804" t="str">
        <f>VLOOKUP(H804,[1]妻子表!$A:$D,4,0)</f>
        <v>欧阳氏</v>
      </c>
      <c r="J804" t="s">
        <v>4159</v>
      </c>
      <c r="M804" t="s">
        <v>5129</v>
      </c>
      <c r="N804" t="s">
        <v>2248</v>
      </c>
      <c r="O804" t="s">
        <v>5130</v>
      </c>
      <c r="P804" t="s">
        <v>601</v>
      </c>
      <c r="AA804" t="s">
        <v>5131</v>
      </c>
    </row>
    <row r="805" spans="1:27" x14ac:dyDescent="0.25">
      <c r="A805" t="s">
        <v>5132</v>
      </c>
      <c r="B805" t="s">
        <v>5133</v>
      </c>
      <c r="C805" t="s">
        <v>29</v>
      </c>
      <c r="D805" t="s">
        <v>1846</v>
      </c>
      <c r="E805" t="s">
        <v>4158</v>
      </c>
      <c r="F805" t="s">
        <v>4958</v>
      </c>
      <c r="G805" t="s">
        <v>4959</v>
      </c>
      <c r="H805" t="str">
        <f>INDEX([1]妻子表!$A:$A,MATCH(F805,[1]妻子表!$B:$B,0))</f>
        <v>ZA0124W01</v>
      </c>
      <c r="I805" t="str">
        <f>VLOOKUP(H805,[1]妻子表!$A:$D,4,0)</f>
        <v>刘氏</v>
      </c>
      <c r="J805" t="s">
        <v>4159</v>
      </c>
      <c r="M805" t="s">
        <v>5134</v>
      </c>
      <c r="N805" t="s">
        <v>1797</v>
      </c>
      <c r="O805" t="s">
        <v>5135</v>
      </c>
      <c r="P805" t="s">
        <v>184</v>
      </c>
      <c r="AA805" t="s">
        <v>5136</v>
      </c>
    </row>
    <row r="806" spans="1:27" x14ac:dyDescent="0.25">
      <c r="A806" t="s">
        <v>5137</v>
      </c>
      <c r="B806" t="s">
        <v>5138</v>
      </c>
      <c r="C806" t="s">
        <v>29</v>
      </c>
      <c r="D806" t="s">
        <v>1846</v>
      </c>
      <c r="E806" t="s">
        <v>4158</v>
      </c>
      <c r="F806" t="s">
        <v>4970</v>
      </c>
      <c r="G806" t="s">
        <v>4971</v>
      </c>
      <c r="H806" t="str">
        <f>INDEX([1]妻子表!$A:$A,MATCH(F806,[1]妻子表!$B:$B,0))</f>
        <v>ZA0126W01</v>
      </c>
      <c r="I806" t="str">
        <f>VLOOKUP(H806,[1]妻子表!$A:$D,4,0)</f>
        <v>王氏</v>
      </c>
      <c r="J806" t="s">
        <v>4159</v>
      </c>
      <c r="M806" t="s">
        <v>5139</v>
      </c>
      <c r="N806" t="s">
        <v>1640</v>
      </c>
      <c r="O806" t="s">
        <v>203</v>
      </c>
      <c r="P806" t="s">
        <v>497</v>
      </c>
      <c r="AA806" t="s">
        <v>5140</v>
      </c>
    </row>
    <row r="807" spans="1:27" x14ac:dyDescent="0.25">
      <c r="A807" t="s">
        <v>5141</v>
      </c>
      <c r="B807" t="s">
        <v>5142</v>
      </c>
      <c r="C807" t="s">
        <v>29</v>
      </c>
      <c r="D807" t="s">
        <v>1846</v>
      </c>
      <c r="E807" t="s">
        <v>4158</v>
      </c>
      <c r="F807" t="s">
        <v>4992</v>
      </c>
      <c r="G807" t="s">
        <v>4993</v>
      </c>
      <c r="H807" t="str">
        <f>INDEX([1]妻子表!$A:$A,MATCH(F807,[1]妻子表!$B:$B,0))</f>
        <v>ZA0129W01</v>
      </c>
      <c r="I807" t="str">
        <f>VLOOKUP(H807,[1]妻子表!$A:$D,4,0)</f>
        <v>曾氏</v>
      </c>
      <c r="J807" t="s">
        <v>4159</v>
      </c>
      <c r="T807" s="2" t="s">
        <v>5143</v>
      </c>
      <c r="U807" t="s">
        <v>174</v>
      </c>
      <c r="AA807" t="s">
        <v>5144</v>
      </c>
    </row>
    <row r="808" spans="1:27" x14ac:dyDescent="0.25">
      <c r="A808" t="s">
        <v>5145</v>
      </c>
      <c r="B808" t="s">
        <v>5146</v>
      </c>
      <c r="C808" t="s">
        <v>29</v>
      </c>
      <c r="D808" t="s">
        <v>1846</v>
      </c>
      <c r="E808" t="s">
        <v>4158</v>
      </c>
      <c r="F808" t="s">
        <v>4992</v>
      </c>
      <c r="G808" t="s">
        <v>4993</v>
      </c>
      <c r="H808" t="str">
        <f>INDEX([1]妻子表!$A:$A,MATCH(F808,[1]妻子表!$B:$B,0))</f>
        <v>ZA0129W01</v>
      </c>
      <c r="I808" t="str">
        <f>VLOOKUP(H808,[1]妻子表!$A:$D,4,0)</f>
        <v>曾氏</v>
      </c>
      <c r="J808" t="s">
        <v>4159</v>
      </c>
      <c r="M808" t="s">
        <v>5147</v>
      </c>
      <c r="N808" t="s">
        <v>2175</v>
      </c>
      <c r="O808" t="s">
        <v>5148</v>
      </c>
      <c r="P808" t="s">
        <v>315</v>
      </c>
      <c r="T808" s="2" t="s">
        <v>5149</v>
      </c>
      <c r="U808" t="s">
        <v>189</v>
      </c>
      <c r="AA808" t="s">
        <v>5150</v>
      </c>
    </row>
    <row r="809" spans="1:27" x14ac:dyDescent="0.25">
      <c r="A809" t="s">
        <v>5151</v>
      </c>
      <c r="B809" t="s">
        <v>5152</v>
      </c>
      <c r="C809" t="s">
        <v>29</v>
      </c>
      <c r="D809" t="s">
        <v>1846</v>
      </c>
      <c r="E809" t="s">
        <v>4158</v>
      </c>
      <c r="F809" t="s">
        <v>4998</v>
      </c>
      <c r="G809" t="s">
        <v>4999</v>
      </c>
      <c r="H809" t="str">
        <f>INDEX([1]妻子表!$A:$A,MATCH(F809,[1]妻子表!$B:$B,0))</f>
        <v>ZA0130W01</v>
      </c>
      <c r="I809" t="str">
        <f>VLOOKUP(H809,[1]妻子表!$A:$D,4,0)</f>
        <v>刘氏</v>
      </c>
      <c r="J809" t="s">
        <v>4159</v>
      </c>
      <c r="M809" t="s">
        <v>5153</v>
      </c>
      <c r="N809" t="s">
        <v>1915</v>
      </c>
      <c r="O809" t="s">
        <v>5154</v>
      </c>
      <c r="P809" t="s">
        <v>200</v>
      </c>
      <c r="AA809" t="s">
        <v>5155</v>
      </c>
    </row>
    <row r="810" spans="1:27" x14ac:dyDescent="0.25">
      <c r="A810" t="s">
        <v>5156</v>
      </c>
      <c r="B810" t="s">
        <v>5157</v>
      </c>
      <c r="C810" t="s">
        <v>29</v>
      </c>
      <c r="D810" t="s">
        <v>1846</v>
      </c>
      <c r="E810" t="s">
        <v>4158</v>
      </c>
      <c r="F810" t="s">
        <v>4998</v>
      </c>
      <c r="G810" t="s">
        <v>4999</v>
      </c>
      <c r="H810" t="str">
        <f>INDEX([1]妻子表!$A:$A,MATCH(F810,[1]妻子表!$B:$B,0))</f>
        <v>ZA0130W01</v>
      </c>
      <c r="I810" t="str">
        <f>VLOOKUP(H810,[1]妻子表!$A:$D,4,0)</f>
        <v>刘氏</v>
      </c>
      <c r="J810" t="s">
        <v>4159</v>
      </c>
      <c r="M810" t="s">
        <v>5158</v>
      </c>
      <c r="N810" t="s">
        <v>3197</v>
      </c>
      <c r="O810" t="s">
        <v>5159</v>
      </c>
      <c r="P810" t="s">
        <v>169</v>
      </c>
      <c r="AA810" t="s">
        <v>5160</v>
      </c>
    </row>
    <row r="811" spans="1:27" x14ac:dyDescent="0.25">
      <c r="A811" t="s">
        <v>5161</v>
      </c>
      <c r="B811" t="s">
        <v>5162</v>
      </c>
      <c r="C811" t="s">
        <v>29</v>
      </c>
      <c r="D811" t="s">
        <v>1846</v>
      </c>
      <c r="E811" t="s">
        <v>4158</v>
      </c>
      <c r="F811" t="s">
        <v>4998</v>
      </c>
      <c r="G811" t="s">
        <v>4999</v>
      </c>
      <c r="H811" t="str">
        <f>INDEX([1]妻子表!$A:$A,MATCH(F811,[1]妻子表!$B:$B,0))</f>
        <v>ZA0130W01</v>
      </c>
      <c r="I811" t="str">
        <f>VLOOKUP(H811,[1]妻子表!$A:$D,4,0)</f>
        <v>刘氏</v>
      </c>
      <c r="J811" t="s">
        <v>4159</v>
      </c>
      <c r="M811" t="s">
        <v>5163</v>
      </c>
      <c r="N811" t="s">
        <v>2204</v>
      </c>
      <c r="O811" t="s">
        <v>5164</v>
      </c>
      <c r="P811" t="s">
        <v>497</v>
      </c>
      <c r="AA811" t="s">
        <v>5165</v>
      </c>
    </row>
    <row r="812" spans="1:27" x14ac:dyDescent="0.25">
      <c r="A812" t="s">
        <v>5166</v>
      </c>
      <c r="B812" t="s">
        <v>5167</v>
      </c>
      <c r="C812" t="s">
        <v>29</v>
      </c>
      <c r="D812" t="s">
        <v>1846</v>
      </c>
      <c r="E812" t="s">
        <v>4158</v>
      </c>
      <c r="J812" t="s">
        <v>4159</v>
      </c>
      <c r="AA812" t="s">
        <v>5168</v>
      </c>
    </row>
    <row r="813" spans="1:27" x14ac:dyDescent="0.25">
      <c r="A813" t="s">
        <v>5169</v>
      </c>
      <c r="B813" t="s">
        <v>5170</v>
      </c>
      <c r="C813" t="s">
        <v>29</v>
      </c>
      <c r="D813" t="s">
        <v>1846</v>
      </c>
      <c r="E813" t="s">
        <v>4158</v>
      </c>
      <c r="J813" t="s">
        <v>4159</v>
      </c>
    </row>
    <row r="814" spans="1:27" x14ac:dyDescent="0.25">
      <c r="A814" t="s">
        <v>5171</v>
      </c>
      <c r="B814" t="s">
        <v>5172</v>
      </c>
      <c r="C814" t="s">
        <v>29</v>
      </c>
      <c r="D814" t="s">
        <v>1911</v>
      </c>
      <c r="E814" t="s">
        <v>4158</v>
      </c>
      <c r="F814" t="s">
        <v>5040</v>
      </c>
      <c r="G814" t="s">
        <v>5041</v>
      </c>
      <c r="J814" t="s">
        <v>4159</v>
      </c>
      <c r="AA814" t="s">
        <v>5173</v>
      </c>
    </row>
    <row r="815" spans="1:27" x14ac:dyDescent="0.25">
      <c r="A815" t="s">
        <v>5174</v>
      </c>
      <c r="B815" t="s">
        <v>5175</v>
      </c>
      <c r="C815" t="s">
        <v>29</v>
      </c>
      <c r="D815" t="s">
        <v>1911</v>
      </c>
      <c r="E815" t="s">
        <v>4158</v>
      </c>
      <c r="F815" t="s">
        <v>5040</v>
      </c>
      <c r="G815" t="s">
        <v>5041</v>
      </c>
      <c r="J815" t="s">
        <v>4159</v>
      </c>
      <c r="AA815" t="s">
        <v>5176</v>
      </c>
    </row>
    <row r="816" spans="1:27" x14ac:dyDescent="0.25">
      <c r="A816" t="s">
        <v>5177</v>
      </c>
      <c r="B816" t="s">
        <v>5178</v>
      </c>
      <c r="C816" t="s">
        <v>29</v>
      </c>
      <c r="D816" t="s">
        <v>1911</v>
      </c>
      <c r="E816" t="s">
        <v>4158</v>
      </c>
      <c r="F816" t="s">
        <v>5046</v>
      </c>
      <c r="G816" t="s">
        <v>5047</v>
      </c>
      <c r="J816" t="s">
        <v>4159</v>
      </c>
      <c r="AA816" t="s">
        <v>5179</v>
      </c>
    </row>
    <row r="817" spans="1:27" x14ac:dyDescent="0.25">
      <c r="A817" t="s">
        <v>5180</v>
      </c>
      <c r="B817" t="s">
        <v>5181</v>
      </c>
      <c r="C817" t="s">
        <v>29</v>
      </c>
      <c r="D817" t="s">
        <v>1911</v>
      </c>
      <c r="E817" t="s">
        <v>4158</v>
      </c>
      <c r="F817" t="s">
        <v>5046</v>
      </c>
      <c r="G817" t="s">
        <v>5047</v>
      </c>
      <c r="J817" t="s">
        <v>4159</v>
      </c>
      <c r="AA817" t="s">
        <v>5182</v>
      </c>
    </row>
    <row r="818" spans="1:27" x14ac:dyDescent="0.25">
      <c r="A818" t="s">
        <v>5183</v>
      </c>
      <c r="B818" t="s">
        <v>5184</v>
      </c>
      <c r="C818" t="s">
        <v>29</v>
      </c>
      <c r="D818" t="s">
        <v>1911</v>
      </c>
      <c r="E818" t="s">
        <v>4158</v>
      </c>
      <c r="F818" t="s">
        <v>5043</v>
      </c>
      <c r="G818" t="s">
        <v>5044</v>
      </c>
      <c r="J818" t="s">
        <v>4159</v>
      </c>
      <c r="AA818" t="s">
        <v>5185</v>
      </c>
    </row>
    <row r="819" spans="1:27" x14ac:dyDescent="0.25">
      <c r="A819" t="s">
        <v>5186</v>
      </c>
      <c r="B819" t="s">
        <v>5187</v>
      </c>
      <c r="C819" t="s">
        <v>29</v>
      </c>
      <c r="D819" t="s">
        <v>1911</v>
      </c>
      <c r="E819" t="s">
        <v>4158</v>
      </c>
      <c r="F819" t="s">
        <v>5061</v>
      </c>
      <c r="G819" t="s">
        <v>5062</v>
      </c>
      <c r="J819" t="s">
        <v>4159</v>
      </c>
      <c r="AA819" t="s">
        <v>5188</v>
      </c>
    </row>
    <row r="820" spans="1:27" x14ac:dyDescent="0.25">
      <c r="A820" t="s">
        <v>5189</v>
      </c>
      <c r="B820" t="s">
        <v>5190</v>
      </c>
      <c r="C820" t="s">
        <v>29</v>
      </c>
      <c r="D820" t="s">
        <v>1911</v>
      </c>
      <c r="E820" t="s">
        <v>4158</v>
      </c>
      <c r="F820" t="s">
        <v>5166</v>
      </c>
      <c r="G820" t="s">
        <v>5167</v>
      </c>
      <c r="J820" t="s">
        <v>4159</v>
      </c>
    </row>
    <row r="821" spans="1:27" x14ac:dyDescent="0.25">
      <c r="A821" t="s">
        <v>5191</v>
      </c>
      <c r="B821" t="s">
        <v>5192</v>
      </c>
      <c r="C821" t="s">
        <v>29</v>
      </c>
      <c r="D821" t="s">
        <v>2338</v>
      </c>
      <c r="E821" t="s">
        <v>4158</v>
      </c>
      <c r="F821" t="s">
        <v>5171</v>
      </c>
      <c r="G821" t="s">
        <v>5172</v>
      </c>
      <c r="J821" t="s">
        <v>4159</v>
      </c>
      <c r="T821" s="2" t="s">
        <v>5193</v>
      </c>
      <c r="U821" t="s">
        <v>5194</v>
      </c>
      <c r="AA821" t="s">
        <v>5195</v>
      </c>
    </row>
    <row r="822" spans="1:27" x14ac:dyDescent="0.25">
      <c r="A822" t="s">
        <v>5196</v>
      </c>
      <c r="B822" t="s">
        <v>5197</v>
      </c>
      <c r="C822" t="s">
        <v>29</v>
      </c>
      <c r="D822" t="s">
        <v>2338</v>
      </c>
      <c r="E822" t="s">
        <v>4158</v>
      </c>
      <c r="F822" t="s">
        <v>5171</v>
      </c>
      <c r="G822" t="s">
        <v>5172</v>
      </c>
      <c r="J822" t="s">
        <v>4159</v>
      </c>
      <c r="AA822" t="s">
        <v>5198</v>
      </c>
    </row>
    <row r="823" spans="1:27" x14ac:dyDescent="0.25">
      <c r="A823" t="s">
        <v>5199</v>
      </c>
      <c r="B823" t="s">
        <v>5200</v>
      </c>
      <c r="C823" t="s">
        <v>29</v>
      </c>
      <c r="D823" t="s">
        <v>2338</v>
      </c>
      <c r="E823" t="s">
        <v>4158</v>
      </c>
      <c r="F823" t="s">
        <v>5171</v>
      </c>
      <c r="G823" t="s">
        <v>5172</v>
      </c>
      <c r="J823" t="s">
        <v>4159</v>
      </c>
      <c r="T823" s="2" t="s">
        <v>5201</v>
      </c>
      <c r="U823" t="s">
        <v>5202</v>
      </c>
      <c r="AA823" t="s">
        <v>5203</v>
      </c>
    </row>
    <row r="824" spans="1:27" x14ac:dyDescent="0.25">
      <c r="A824" t="s">
        <v>5204</v>
      </c>
      <c r="B824" t="s">
        <v>5205</v>
      </c>
      <c r="C824" t="s">
        <v>29</v>
      </c>
      <c r="D824" t="s">
        <v>2338</v>
      </c>
      <c r="E824" t="s">
        <v>4158</v>
      </c>
      <c r="F824" t="s">
        <v>5174</v>
      </c>
      <c r="G824" t="s">
        <v>5175</v>
      </c>
      <c r="J824" t="s">
        <v>4159</v>
      </c>
      <c r="T824" s="2" t="s">
        <v>5206</v>
      </c>
      <c r="U824" t="s">
        <v>5207</v>
      </c>
      <c r="AA824" t="s">
        <v>5208</v>
      </c>
    </row>
    <row r="825" spans="1:27" x14ac:dyDescent="0.25">
      <c r="A825" t="s">
        <v>5209</v>
      </c>
      <c r="B825" t="s">
        <v>5210</v>
      </c>
      <c r="C825" t="s">
        <v>29</v>
      </c>
      <c r="D825" t="s">
        <v>2338</v>
      </c>
      <c r="E825" t="s">
        <v>4158</v>
      </c>
      <c r="F825" t="s">
        <v>5174</v>
      </c>
      <c r="G825" t="s">
        <v>5175</v>
      </c>
      <c r="J825" t="s">
        <v>4159</v>
      </c>
      <c r="AA825" t="s">
        <v>5211</v>
      </c>
    </row>
    <row r="826" spans="1:27" x14ac:dyDescent="0.25">
      <c r="A826" t="s">
        <v>5212</v>
      </c>
      <c r="B826" t="s">
        <v>5213</v>
      </c>
      <c r="C826" t="s">
        <v>29</v>
      </c>
      <c r="D826" t="s">
        <v>2338</v>
      </c>
      <c r="E826" t="s">
        <v>4158</v>
      </c>
      <c r="F826" t="s">
        <v>5177</v>
      </c>
      <c r="G826" t="s">
        <v>5178</v>
      </c>
      <c r="J826" t="s">
        <v>4159</v>
      </c>
      <c r="T826" s="2" t="s">
        <v>5214</v>
      </c>
      <c r="U826" t="s">
        <v>5215</v>
      </c>
      <c r="AA826" t="s">
        <v>5216</v>
      </c>
    </row>
    <row r="827" spans="1:27" x14ac:dyDescent="0.25">
      <c r="A827" t="s">
        <v>5217</v>
      </c>
      <c r="B827" t="s">
        <v>5218</v>
      </c>
      <c r="C827" t="s">
        <v>29</v>
      </c>
      <c r="D827" t="s">
        <v>2338</v>
      </c>
      <c r="E827" t="s">
        <v>4158</v>
      </c>
      <c r="F827" t="s">
        <v>5177</v>
      </c>
      <c r="G827" t="s">
        <v>5178</v>
      </c>
      <c r="J827" t="s">
        <v>4159</v>
      </c>
      <c r="AA827" t="s">
        <v>5219</v>
      </c>
    </row>
    <row r="828" spans="1:27" x14ac:dyDescent="0.25">
      <c r="A828" t="s">
        <v>5220</v>
      </c>
      <c r="B828" t="s">
        <v>5221</v>
      </c>
      <c r="C828" t="s">
        <v>29</v>
      </c>
      <c r="D828" t="s">
        <v>2338</v>
      </c>
      <c r="E828" t="s">
        <v>4158</v>
      </c>
      <c r="F828" t="s">
        <v>5180</v>
      </c>
      <c r="G828" t="s">
        <v>5181</v>
      </c>
      <c r="J828" t="s">
        <v>4159</v>
      </c>
      <c r="T828" s="2" t="s">
        <v>5222</v>
      </c>
      <c r="U828" t="s">
        <v>5223</v>
      </c>
      <c r="AA828" t="s">
        <v>5224</v>
      </c>
    </row>
    <row r="829" spans="1:27" x14ac:dyDescent="0.25">
      <c r="A829" t="s">
        <v>5225</v>
      </c>
      <c r="B829" t="s">
        <v>5226</v>
      </c>
      <c r="C829" t="s">
        <v>29</v>
      </c>
      <c r="D829" t="s">
        <v>2338</v>
      </c>
      <c r="E829" t="s">
        <v>4158</v>
      </c>
      <c r="F829" t="s">
        <v>5180</v>
      </c>
      <c r="G829" t="s">
        <v>5181</v>
      </c>
      <c r="J829" t="s">
        <v>4159</v>
      </c>
      <c r="T829" s="2" t="s">
        <v>5227</v>
      </c>
      <c r="U829" t="s">
        <v>5228</v>
      </c>
      <c r="AA829" t="s">
        <v>5229</v>
      </c>
    </row>
    <row r="830" spans="1:27" x14ac:dyDescent="0.25">
      <c r="A830" t="s">
        <v>5230</v>
      </c>
      <c r="B830" t="s">
        <v>5231</v>
      </c>
      <c r="C830" t="s">
        <v>29</v>
      </c>
      <c r="D830" t="s">
        <v>2338</v>
      </c>
      <c r="E830" t="s">
        <v>4158</v>
      </c>
      <c r="F830" t="s">
        <v>5183</v>
      </c>
      <c r="G830" t="s">
        <v>5184</v>
      </c>
      <c r="J830" t="s">
        <v>4159</v>
      </c>
      <c r="T830" s="2" t="s">
        <v>5232</v>
      </c>
      <c r="U830" t="s">
        <v>5233</v>
      </c>
      <c r="AA830" t="s">
        <v>5234</v>
      </c>
    </row>
    <row r="831" spans="1:27" x14ac:dyDescent="0.25">
      <c r="A831" t="s">
        <v>5235</v>
      </c>
      <c r="B831" t="s">
        <v>5236</v>
      </c>
      <c r="C831" t="s">
        <v>29</v>
      </c>
      <c r="D831" t="s">
        <v>2338</v>
      </c>
      <c r="E831" t="s">
        <v>4158</v>
      </c>
      <c r="F831" t="s">
        <v>5186</v>
      </c>
      <c r="G831" t="s">
        <v>5187</v>
      </c>
      <c r="J831" t="s">
        <v>4159</v>
      </c>
      <c r="AA831" t="s">
        <v>5237</v>
      </c>
    </row>
    <row r="832" spans="1:27" x14ac:dyDescent="0.25">
      <c r="A832" t="s">
        <v>5238</v>
      </c>
      <c r="B832" t="s">
        <v>5239</v>
      </c>
      <c r="C832" t="s">
        <v>29</v>
      </c>
      <c r="D832" t="s">
        <v>2338</v>
      </c>
      <c r="E832" t="s">
        <v>4158</v>
      </c>
      <c r="F832" t="s">
        <v>5186</v>
      </c>
      <c r="G832" t="s">
        <v>5187</v>
      </c>
      <c r="J832" t="s">
        <v>4159</v>
      </c>
      <c r="AA832" t="s">
        <v>5240</v>
      </c>
    </row>
    <row r="833" spans="1:27" x14ac:dyDescent="0.25">
      <c r="A833" t="s">
        <v>5241</v>
      </c>
      <c r="B833" t="s">
        <v>5242</v>
      </c>
      <c r="C833" t="s">
        <v>29</v>
      </c>
      <c r="D833" t="s">
        <v>1075</v>
      </c>
      <c r="E833" t="s">
        <v>4158</v>
      </c>
      <c r="F833" t="s">
        <v>5191</v>
      </c>
      <c r="G833" t="s">
        <v>5192</v>
      </c>
      <c r="H833" t="str">
        <f>INDEX([1]妻子表!$A:$A,MATCH(F833,[1]妻子表!$B:$B,0))</f>
        <v>ZA0176W01</v>
      </c>
      <c r="I833" t="str">
        <f>VLOOKUP(H833,[1]妻子表!$A:$D,4,0)</f>
        <v>朱元娘</v>
      </c>
      <c r="J833" t="s">
        <v>4159</v>
      </c>
      <c r="K833" t="s">
        <v>5243</v>
      </c>
      <c r="L833" t="s">
        <v>5244</v>
      </c>
      <c r="M833" t="s">
        <v>5245</v>
      </c>
      <c r="N833" t="s">
        <v>5246</v>
      </c>
      <c r="O833" t="s">
        <v>5247</v>
      </c>
      <c r="P833" t="s">
        <v>257</v>
      </c>
      <c r="Q833" t="s">
        <v>5248</v>
      </c>
      <c r="R833" t="s">
        <v>3898</v>
      </c>
      <c r="S833" t="s">
        <v>5249</v>
      </c>
      <c r="T833" s="2" t="s">
        <v>5250</v>
      </c>
      <c r="U833" t="s">
        <v>5251</v>
      </c>
      <c r="AA833" t="s">
        <v>5252</v>
      </c>
    </row>
    <row r="834" spans="1:27" x14ac:dyDescent="0.25">
      <c r="A834" t="s">
        <v>5253</v>
      </c>
      <c r="B834" t="s">
        <v>5254</v>
      </c>
      <c r="C834" t="s">
        <v>29</v>
      </c>
      <c r="D834" t="s">
        <v>1075</v>
      </c>
      <c r="E834" t="s">
        <v>4158</v>
      </c>
      <c r="F834" t="s">
        <v>5191</v>
      </c>
      <c r="G834" t="s">
        <v>5192</v>
      </c>
      <c r="H834" t="str">
        <f>INDEX([1]妻子表!$A:$A,MATCH(F834,[1]妻子表!$B:$B,0))</f>
        <v>ZA0176W01</v>
      </c>
      <c r="I834" t="str">
        <f>VLOOKUP(H834,[1]妻子表!$A:$D,4,0)</f>
        <v>朱元娘</v>
      </c>
      <c r="J834" t="s">
        <v>4159</v>
      </c>
      <c r="AA834" t="s">
        <v>5255</v>
      </c>
    </row>
    <row r="835" spans="1:27" x14ac:dyDescent="0.25">
      <c r="A835" t="s">
        <v>5256</v>
      </c>
      <c r="B835" t="s">
        <v>5257</v>
      </c>
      <c r="C835" t="s">
        <v>3963</v>
      </c>
      <c r="D835" t="s">
        <v>1075</v>
      </c>
      <c r="E835" t="s">
        <v>4158</v>
      </c>
      <c r="F835" t="s">
        <v>5191</v>
      </c>
      <c r="G835" t="s">
        <v>5192</v>
      </c>
      <c r="H835" t="str">
        <f>INDEX([1]妻子表!$A:$A,MATCH(F835,[1]妻子表!$B:$B,0))</f>
        <v>ZA0176W01</v>
      </c>
      <c r="I835" t="str">
        <f>VLOOKUP(H835,[1]妻子表!$A:$D,4,0)</f>
        <v>朱元娘</v>
      </c>
      <c r="J835" t="s">
        <v>4159</v>
      </c>
      <c r="V835" s="3" t="str">
        <f>_xlfn.XLOOKUP(A835,[2]女婿表!$D:$D,[2]女婿表!$A:$A)</f>
        <v>ZA0190S01</v>
      </c>
      <c r="W835" t="str">
        <f>_xlfn.XLOOKUP(V835,[2]女婿表!$A:$A,[2]女婿表!$B:$B,0)</f>
        <v>某某</v>
      </c>
      <c r="AA835" t="s">
        <v>5258</v>
      </c>
    </row>
    <row r="836" spans="1:27" x14ac:dyDescent="0.25">
      <c r="A836" t="s">
        <v>5259</v>
      </c>
      <c r="B836" t="s">
        <v>5260</v>
      </c>
      <c r="C836" t="s">
        <v>29</v>
      </c>
      <c r="D836" t="s">
        <v>1075</v>
      </c>
      <c r="E836" t="s">
        <v>4158</v>
      </c>
      <c r="F836" t="s">
        <v>5196</v>
      </c>
      <c r="G836" t="s">
        <v>5197</v>
      </c>
      <c r="J836" t="s">
        <v>4159</v>
      </c>
      <c r="AA836" t="s">
        <v>5261</v>
      </c>
    </row>
    <row r="837" spans="1:27" x14ac:dyDescent="0.25">
      <c r="A837" t="s">
        <v>5262</v>
      </c>
      <c r="B837" t="s">
        <v>5263</v>
      </c>
      <c r="C837" t="s">
        <v>29</v>
      </c>
      <c r="D837" t="s">
        <v>1075</v>
      </c>
      <c r="E837" t="s">
        <v>4158</v>
      </c>
      <c r="F837" t="s">
        <v>5196</v>
      </c>
      <c r="G837" t="s">
        <v>5197</v>
      </c>
      <c r="J837" t="s">
        <v>4159</v>
      </c>
      <c r="K837" t="s">
        <v>5264</v>
      </c>
      <c r="L837" t="s">
        <v>1328</v>
      </c>
      <c r="M837" t="s">
        <v>5265</v>
      </c>
      <c r="N837" t="s">
        <v>5266</v>
      </c>
      <c r="O837" t="s">
        <v>5267</v>
      </c>
      <c r="P837" t="s">
        <v>169</v>
      </c>
      <c r="Q837" t="s">
        <v>5268</v>
      </c>
      <c r="R837" t="s">
        <v>5269</v>
      </c>
      <c r="S837" t="s">
        <v>5270</v>
      </c>
      <c r="T837" s="2" t="s">
        <v>5271</v>
      </c>
      <c r="U837" t="s">
        <v>5272</v>
      </c>
      <c r="AA837" t="s">
        <v>5273</v>
      </c>
    </row>
    <row r="838" spans="1:27" x14ac:dyDescent="0.25">
      <c r="A838" t="s">
        <v>5274</v>
      </c>
      <c r="B838" t="s">
        <v>5275</v>
      </c>
      <c r="C838" t="s">
        <v>29</v>
      </c>
      <c r="D838" t="s">
        <v>1075</v>
      </c>
      <c r="E838" t="s">
        <v>4158</v>
      </c>
      <c r="F838" t="s">
        <v>5196</v>
      </c>
      <c r="G838" t="s">
        <v>5197</v>
      </c>
      <c r="J838" t="s">
        <v>4159</v>
      </c>
    </row>
    <row r="839" spans="1:27" x14ac:dyDescent="0.25">
      <c r="A839" t="s">
        <v>5276</v>
      </c>
      <c r="B839" t="s">
        <v>5277</v>
      </c>
      <c r="C839" t="s">
        <v>29</v>
      </c>
      <c r="D839" t="s">
        <v>1075</v>
      </c>
      <c r="E839" t="s">
        <v>4158</v>
      </c>
      <c r="F839" t="s">
        <v>5196</v>
      </c>
      <c r="G839" t="s">
        <v>5197</v>
      </c>
      <c r="J839" t="s">
        <v>4159</v>
      </c>
    </row>
    <row r="840" spans="1:27" x14ac:dyDescent="0.25">
      <c r="A840" t="s">
        <v>5278</v>
      </c>
      <c r="B840" t="s">
        <v>5279</v>
      </c>
      <c r="C840" t="s">
        <v>3963</v>
      </c>
      <c r="D840" t="s">
        <v>1075</v>
      </c>
      <c r="E840" t="s">
        <v>4158</v>
      </c>
      <c r="F840" t="s">
        <v>5191</v>
      </c>
      <c r="G840" t="s">
        <v>5192</v>
      </c>
      <c r="H840" t="str">
        <f>INDEX([1]妻子表!$A:$A,MATCH(F840,[1]妻子表!$B:$B,0))</f>
        <v>ZA0176W01</v>
      </c>
      <c r="I840" t="str">
        <f>VLOOKUP(H840,[1]妻子表!$A:$D,4,0)</f>
        <v>朱元娘</v>
      </c>
      <c r="J840" t="s">
        <v>4159</v>
      </c>
      <c r="V840" s="3"/>
    </row>
    <row r="841" spans="1:27" x14ac:dyDescent="0.25">
      <c r="A841" t="s">
        <v>5280</v>
      </c>
      <c r="B841" t="s">
        <v>5281</v>
      </c>
      <c r="C841" t="s">
        <v>29</v>
      </c>
      <c r="D841" t="s">
        <v>1075</v>
      </c>
      <c r="E841" t="s">
        <v>4158</v>
      </c>
      <c r="F841" t="s">
        <v>5199</v>
      </c>
      <c r="G841" t="s">
        <v>5200</v>
      </c>
      <c r="H841" t="str">
        <f>INDEX([1]妻子表!$A:$A,MATCH(F841,[1]妻子表!$B:$B,0))</f>
        <v>ZA0178W01</v>
      </c>
      <c r="I841" t="str">
        <f>VLOOKUP(H841,[1]妻子表!$A:$D,4,0)</f>
        <v>尹六珠</v>
      </c>
      <c r="J841" t="s">
        <v>4159</v>
      </c>
      <c r="K841" t="s">
        <v>5282</v>
      </c>
      <c r="L841" t="s">
        <v>417</v>
      </c>
      <c r="M841" t="s">
        <v>5283</v>
      </c>
      <c r="N841" t="s">
        <v>2561</v>
      </c>
      <c r="O841" t="s">
        <v>5284</v>
      </c>
      <c r="P841" t="s">
        <v>601</v>
      </c>
      <c r="Q841" t="s">
        <v>5285</v>
      </c>
      <c r="R841" t="s">
        <v>5286</v>
      </c>
      <c r="S841" t="s">
        <v>5287</v>
      </c>
      <c r="AA841" t="s">
        <v>5288</v>
      </c>
    </row>
    <row r="842" spans="1:27" x14ac:dyDescent="0.25">
      <c r="A842" t="s">
        <v>5289</v>
      </c>
      <c r="B842" t="s">
        <v>5290</v>
      </c>
      <c r="C842" t="s">
        <v>29</v>
      </c>
      <c r="D842" t="s">
        <v>1075</v>
      </c>
      <c r="E842" t="s">
        <v>4158</v>
      </c>
      <c r="F842" t="s">
        <v>5199</v>
      </c>
      <c r="G842" t="s">
        <v>5200</v>
      </c>
      <c r="H842" t="str">
        <f>INDEX([1]妻子表!$A:$A,MATCH(F842,[1]妻子表!$B:$B,0))</f>
        <v>ZA0178W01</v>
      </c>
      <c r="I842" t="str">
        <f>VLOOKUP(H842,[1]妻子表!$A:$D,4,0)</f>
        <v>尹六珠</v>
      </c>
      <c r="J842" t="s">
        <v>4159</v>
      </c>
      <c r="K842" t="s">
        <v>5291</v>
      </c>
      <c r="L842" t="s">
        <v>1215</v>
      </c>
      <c r="M842" t="s">
        <v>5292</v>
      </c>
      <c r="N842" t="s">
        <v>2509</v>
      </c>
      <c r="O842" t="s">
        <v>5293</v>
      </c>
      <c r="P842" t="s">
        <v>108</v>
      </c>
      <c r="Q842" t="s">
        <v>5294</v>
      </c>
      <c r="R842" t="s">
        <v>4027</v>
      </c>
      <c r="S842" t="s">
        <v>5295</v>
      </c>
      <c r="T842" s="2" t="s">
        <v>5296</v>
      </c>
      <c r="U842" t="s">
        <v>777</v>
      </c>
      <c r="AA842" t="s">
        <v>5297</v>
      </c>
    </row>
    <row r="843" spans="1:27" x14ac:dyDescent="0.25">
      <c r="A843" t="s">
        <v>5298</v>
      </c>
      <c r="B843" t="s">
        <v>5299</v>
      </c>
      <c r="C843" t="s">
        <v>29</v>
      </c>
      <c r="D843" t="s">
        <v>1075</v>
      </c>
      <c r="E843" t="s">
        <v>4158</v>
      </c>
      <c r="F843" t="s">
        <v>5199</v>
      </c>
      <c r="G843" t="s">
        <v>5200</v>
      </c>
      <c r="H843" t="str">
        <f>INDEX([1]妻子表!$A:$A,MATCH(F843,[1]妻子表!$B:$B,0))</f>
        <v>ZA0178W01</v>
      </c>
      <c r="I843" t="str">
        <f>VLOOKUP(H843,[1]妻子表!$A:$D,4,0)</f>
        <v>尹六珠</v>
      </c>
      <c r="J843" t="s">
        <v>4159</v>
      </c>
      <c r="M843" t="s">
        <v>5300</v>
      </c>
      <c r="N843" t="s">
        <v>5301</v>
      </c>
      <c r="O843" t="s">
        <v>5302</v>
      </c>
      <c r="P843" t="s">
        <v>257</v>
      </c>
      <c r="AA843" t="s">
        <v>5303</v>
      </c>
    </row>
    <row r="844" spans="1:27" x14ac:dyDescent="0.25">
      <c r="A844" t="s">
        <v>5304</v>
      </c>
      <c r="B844" t="s">
        <v>5305</v>
      </c>
      <c r="C844" t="s">
        <v>29</v>
      </c>
      <c r="D844" t="s">
        <v>1075</v>
      </c>
      <c r="E844" t="s">
        <v>4158</v>
      </c>
      <c r="F844" t="s">
        <v>5199</v>
      </c>
      <c r="G844" t="s">
        <v>5200</v>
      </c>
      <c r="H844" t="str">
        <f>INDEX([1]妻子表!$A:$A,MATCH(F844,[1]妻子表!$B:$B,0))</f>
        <v>ZA0178W01</v>
      </c>
      <c r="I844" t="str">
        <f>VLOOKUP(H844,[1]妻子表!$A:$D,4,0)</f>
        <v>尹六珠</v>
      </c>
      <c r="J844" t="s">
        <v>4159</v>
      </c>
      <c r="M844" t="s">
        <v>5306</v>
      </c>
      <c r="N844" t="s">
        <v>5307</v>
      </c>
      <c r="O844" t="s">
        <v>5308</v>
      </c>
      <c r="P844" t="s">
        <v>601</v>
      </c>
      <c r="AA844" t="s">
        <v>5309</v>
      </c>
    </row>
    <row r="845" spans="1:27" x14ac:dyDescent="0.25">
      <c r="A845" t="s">
        <v>5310</v>
      </c>
      <c r="B845" t="s">
        <v>5311</v>
      </c>
      <c r="C845" t="s">
        <v>3963</v>
      </c>
      <c r="D845" t="s">
        <v>1075</v>
      </c>
      <c r="E845" t="s">
        <v>4158</v>
      </c>
      <c r="F845" t="s">
        <v>5199</v>
      </c>
      <c r="G845" t="s">
        <v>5200</v>
      </c>
      <c r="H845" t="str">
        <f>INDEX([1]妻子表!$A:$A,MATCH(F845,[1]妻子表!$B:$B,0))</f>
        <v>ZA0178W01</v>
      </c>
      <c r="I845" t="str">
        <f>VLOOKUP(H845,[1]妻子表!$A:$D,4,0)</f>
        <v>尹六珠</v>
      </c>
      <c r="J845" t="s">
        <v>4159</v>
      </c>
      <c r="M845" t="s">
        <v>5312</v>
      </c>
      <c r="N845" t="s">
        <v>5313</v>
      </c>
      <c r="O845" t="s">
        <v>5314</v>
      </c>
      <c r="P845" t="s">
        <v>315</v>
      </c>
      <c r="V845" s="3" t="str">
        <f>_xlfn.XLOOKUP(A845,[2]女婿表!$D:$D,[2]女婿表!$A:$A)</f>
        <v>ZA0200S01</v>
      </c>
      <c r="W845" t="s">
        <v>5315</v>
      </c>
      <c r="AA845" t="s">
        <v>5316</v>
      </c>
    </row>
    <row r="846" spans="1:27" ht="31.5" customHeight="1" x14ac:dyDescent="0.25">
      <c r="A846" t="s">
        <v>5317</v>
      </c>
      <c r="B846" t="s">
        <v>5318</v>
      </c>
      <c r="C846" t="s">
        <v>29</v>
      </c>
      <c r="D846" t="s">
        <v>1075</v>
      </c>
      <c r="E846" t="s">
        <v>4158</v>
      </c>
      <c r="F846" t="s">
        <v>5204</v>
      </c>
      <c r="G846" t="s">
        <v>5205</v>
      </c>
      <c r="H846" t="str">
        <f>INDEX([1]妻子表!$A:$A,MATCH(F846,[1]妻子表!$B:$B,0))</f>
        <v>ZA0179W01</v>
      </c>
      <c r="I846" t="str">
        <f>VLOOKUP(H846,[1]妻子表!$A:$D,4,0)</f>
        <v>刘氏喜娘</v>
      </c>
      <c r="J846" t="s">
        <v>4159</v>
      </c>
      <c r="K846" t="s">
        <v>5319</v>
      </c>
      <c r="L846" t="s">
        <v>1271</v>
      </c>
      <c r="M846" t="s">
        <v>5320</v>
      </c>
      <c r="N846" t="s">
        <v>5321</v>
      </c>
      <c r="O846" t="s">
        <v>5322</v>
      </c>
      <c r="P846" t="s">
        <v>315</v>
      </c>
      <c r="Q846" t="s">
        <v>5323</v>
      </c>
      <c r="R846" t="s">
        <v>5269</v>
      </c>
      <c r="S846" t="s">
        <v>5324</v>
      </c>
      <c r="T846" s="2" t="s">
        <v>5325</v>
      </c>
      <c r="U846" t="s">
        <v>5326</v>
      </c>
      <c r="AA846" t="s">
        <v>5327</v>
      </c>
    </row>
    <row r="847" spans="1:27" x14ac:dyDescent="0.25">
      <c r="A847" t="s">
        <v>5328</v>
      </c>
      <c r="B847" t="s">
        <v>5329</v>
      </c>
      <c r="C847" t="s">
        <v>29</v>
      </c>
      <c r="D847" t="s">
        <v>1075</v>
      </c>
      <c r="E847" t="s">
        <v>4158</v>
      </c>
      <c r="F847" t="s">
        <v>5204</v>
      </c>
      <c r="G847" t="s">
        <v>5205</v>
      </c>
      <c r="H847" t="str">
        <f>INDEX([1]妻子表!$A:$A,MATCH(F847,[1]妻子表!$B:$B,0))</f>
        <v>ZA0179W01</v>
      </c>
      <c r="I847" t="str">
        <f>VLOOKUP(H847,[1]妻子表!$A:$D,4,0)</f>
        <v>刘氏喜娘</v>
      </c>
      <c r="J847" t="s">
        <v>4159</v>
      </c>
      <c r="K847" t="s">
        <v>5330</v>
      </c>
      <c r="L847" t="s">
        <v>417</v>
      </c>
      <c r="M847" t="s">
        <v>5331</v>
      </c>
      <c r="N847" t="s">
        <v>3861</v>
      </c>
      <c r="O847" t="s">
        <v>5332</v>
      </c>
      <c r="P847" t="s">
        <v>315</v>
      </c>
      <c r="Q847" t="s">
        <v>5333</v>
      </c>
      <c r="R847" t="s">
        <v>5334</v>
      </c>
      <c r="S847" t="s">
        <v>4006</v>
      </c>
      <c r="T847" s="2" t="s">
        <v>5335</v>
      </c>
      <c r="U847" t="s">
        <v>5336</v>
      </c>
      <c r="AA847" t="s">
        <v>5337</v>
      </c>
    </row>
    <row r="848" spans="1:27" x14ac:dyDescent="0.25">
      <c r="A848" t="s">
        <v>5338</v>
      </c>
      <c r="B848" t="s">
        <v>5339</v>
      </c>
      <c r="C848" t="s">
        <v>29</v>
      </c>
      <c r="D848" t="s">
        <v>1075</v>
      </c>
      <c r="E848" t="s">
        <v>4158</v>
      </c>
      <c r="F848" t="s">
        <v>5204</v>
      </c>
      <c r="G848" t="s">
        <v>5205</v>
      </c>
      <c r="H848" t="str">
        <f>INDEX([1]妻子表!$A:$A,MATCH(F848,[1]妻子表!$B:$B,0))</f>
        <v>ZA0179W01</v>
      </c>
      <c r="I848" t="str">
        <f>VLOOKUP(H848,[1]妻子表!$A:$D,4,0)</f>
        <v>刘氏喜娘</v>
      </c>
      <c r="J848" t="s">
        <v>4159</v>
      </c>
      <c r="AA848" t="s">
        <v>5340</v>
      </c>
    </row>
    <row r="849" spans="1:27" x14ac:dyDescent="0.25">
      <c r="A849" t="s">
        <v>5341</v>
      </c>
      <c r="B849" t="s">
        <v>5342</v>
      </c>
      <c r="C849" t="s">
        <v>3963</v>
      </c>
      <c r="D849" t="s">
        <v>1075</v>
      </c>
      <c r="E849" t="s">
        <v>4158</v>
      </c>
      <c r="F849" t="s">
        <v>5204</v>
      </c>
      <c r="G849" t="s">
        <v>5205</v>
      </c>
      <c r="H849" t="str">
        <f>INDEX([1]妻子表!$A:$A,MATCH(F849,[1]妻子表!$B:$B,0))</f>
        <v>ZA0179W01</v>
      </c>
      <c r="I849" t="str">
        <f>VLOOKUP(H849,[1]妻子表!$A:$D,4,0)</f>
        <v>刘氏喜娘</v>
      </c>
      <c r="J849" t="s">
        <v>4159</v>
      </c>
      <c r="V849" s="3" t="str">
        <f>_xlfn.XLOOKUP(A849,[2]女婿表!$D:$D,[2]女婿表!$A:$A)</f>
        <v>ZA0204S01</v>
      </c>
      <c r="W849" t="str">
        <f>_xlfn.XLOOKUP(V849,[2]女婿表!$A:$A,[2]女婿表!$B:$B,0)</f>
        <v>谢彬开</v>
      </c>
      <c r="AA849" t="s">
        <v>5343</v>
      </c>
    </row>
    <row r="850" spans="1:27" x14ac:dyDescent="0.25">
      <c r="A850" t="s">
        <v>5344</v>
      </c>
      <c r="B850" t="s">
        <v>5345</v>
      </c>
      <c r="C850" t="s">
        <v>3963</v>
      </c>
      <c r="D850" t="s">
        <v>1075</v>
      </c>
      <c r="E850" t="s">
        <v>4158</v>
      </c>
      <c r="F850" t="s">
        <v>5204</v>
      </c>
      <c r="G850" t="s">
        <v>5205</v>
      </c>
      <c r="H850" t="str">
        <f>INDEX([1]妻子表!$A:$A,MATCH(F850,[1]妻子表!$B:$B,0))</f>
        <v>ZA0179W01</v>
      </c>
      <c r="I850" t="str">
        <f>VLOOKUP(H850,[1]妻子表!$A:$D,4,0)</f>
        <v>刘氏喜娘</v>
      </c>
      <c r="J850" t="s">
        <v>4159</v>
      </c>
      <c r="V850" s="3" t="str">
        <f>_xlfn.XLOOKUP(A850,[2]女婿表!$D:$D,[2]女婿表!$A:$A)</f>
        <v>ZA0205S01</v>
      </c>
      <c r="W850" t="str">
        <f>_xlfn.XLOOKUP(V850,[2]女婿表!$A:$A,[2]女婿表!$B:$B,0)</f>
        <v>刘月先</v>
      </c>
      <c r="AA850" t="s">
        <v>5346</v>
      </c>
    </row>
    <row r="851" spans="1:27" x14ac:dyDescent="0.25">
      <c r="A851" t="s">
        <v>5347</v>
      </c>
      <c r="B851" t="s">
        <v>5348</v>
      </c>
      <c r="C851" t="s">
        <v>3963</v>
      </c>
      <c r="D851" t="s">
        <v>1075</v>
      </c>
      <c r="E851" t="s">
        <v>4158</v>
      </c>
      <c r="F851" t="s">
        <v>5204</v>
      </c>
      <c r="G851" t="s">
        <v>5205</v>
      </c>
      <c r="H851" t="str">
        <f>INDEX([1]妻子表!$A:$A,MATCH(F851,[1]妻子表!$B:$B,0))</f>
        <v>ZA0179W01</v>
      </c>
      <c r="I851" t="str">
        <f>VLOOKUP(H851,[1]妻子表!$A:$D,4,0)</f>
        <v>刘氏喜娘</v>
      </c>
      <c r="J851" t="s">
        <v>4159</v>
      </c>
      <c r="V851" s="3" t="str">
        <f>_xlfn.XLOOKUP(A851,[2]女婿表!$D:$D,[2]女婿表!$A:$A)</f>
        <v>ZA0206S01</v>
      </c>
      <c r="W851" t="str">
        <f>_xlfn.XLOOKUP(V851,[2]女婿表!$A:$A,[2]女婿表!$B:$B,0)</f>
        <v>刘立长</v>
      </c>
      <c r="AA851" t="s">
        <v>5349</v>
      </c>
    </row>
    <row r="852" spans="1:27" x14ac:dyDescent="0.25">
      <c r="A852" t="s">
        <v>5350</v>
      </c>
      <c r="B852" t="s">
        <v>5351</v>
      </c>
      <c r="C852" t="s">
        <v>29</v>
      </c>
      <c r="D852" t="s">
        <v>1075</v>
      </c>
      <c r="E852" t="s">
        <v>4158</v>
      </c>
      <c r="F852" t="s">
        <v>5217</v>
      </c>
      <c r="G852" t="s">
        <v>5218</v>
      </c>
      <c r="J852" t="s">
        <v>4159</v>
      </c>
      <c r="M852" t="s">
        <v>5352</v>
      </c>
      <c r="N852" t="s">
        <v>4024</v>
      </c>
      <c r="O852" t="s">
        <v>5353</v>
      </c>
      <c r="P852" t="s">
        <v>315</v>
      </c>
      <c r="AA852" t="s">
        <v>5354</v>
      </c>
    </row>
    <row r="853" spans="1:27" x14ac:dyDescent="0.25">
      <c r="A853" t="s">
        <v>5355</v>
      </c>
      <c r="B853" t="s">
        <v>5356</v>
      </c>
      <c r="C853" t="s">
        <v>29</v>
      </c>
      <c r="D853" t="s">
        <v>1075</v>
      </c>
      <c r="E853" t="s">
        <v>4158</v>
      </c>
      <c r="F853" t="s">
        <v>5220</v>
      </c>
      <c r="G853" t="s">
        <v>5221</v>
      </c>
      <c r="H853" t="str">
        <f>INDEX([1]妻子表!$A:$A,MATCH(F853,[1]妻子表!$B:$B,0))</f>
        <v>ZA0183W01</v>
      </c>
      <c r="I853" t="str">
        <f>VLOOKUP(H853,[1]妻子表!$A:$D,4,0)</f>
        <v>刘氏转娥</v>
      </c>
      <c r="J853" t="s">
        <v>4159</v>
      </c>
      <c r="M853" t="s">
        <v>5357</v>
      </c>
      <c r="N853" t="s">
        <v>5358</v>
      </c>
      <c r="O853" t="s">
        <v>5359</v>
      </c>
      <c r="P853" t="s">
        <v>200</v>
      </c>
      <c r="T853" s="2" t="s">
        <v>5360</v>
      </c>
      <c r="U853" t="s">
        <v>5361</v>
      </c>
      <c r="AA853" t="s">
        <v>5362</v>
      </c>
    </row>
    <row r="854" spans="1:27" x14ac:dyDescent="0.25">
      <c r="A854" t="s">
        <v>5363</v>
      </c>
      <c r="B854" t="s">
        <v>5364</v>
      </c>
      <c r="C854" t="s">
        <v>29</v>
      </c>
      <c r="D854" t="s">
        <v>1075</v>
      </c>
      <c r="E854" t="s">
        <v>4158</v>
      </c>
      <c r="F854" t="s">
        <v>5220</v>
      </c>
      <c r="G854" t="s">
        <v>5221</v>
      </c>
      <c r="H854" t="str">
        <f>INDEX([1]妻子表!$A:$A,MATCH(F854,[1]妻子表!$B:$B,0))</f>
        <v>ZA0183W01</v>
      </c>
      <c r="I854" t="str">
        <f>VLOOKUP(H854,[1]妻子表!$A:$D,4,0)</f>
        <v>刘氏转娥</v>
      </c>
      <c r="J854" t="s">
        <v>4159</v>
      </c>
      <c r="AA854" t="s">
        <v>5365</v>
      </c>
    </row>
    <row r="855" spans="1:27" x14ac:dyDescent="0.25">
      <c r="A855" t="s">
        <v>5366</v>
      </c>
      <c r="B855" t="s">
        <v>5367</v>
      </c>
      <c r="C855" t="s">
        <v>29</v>
      </c>
      <c r="D855" t="s">
        <v>1075</v>
      </c>
      <c r="E855" t="s">
        <v>4158</v>
      </c>
      <c r="F855" t="s">
        <v>5220</v>
      </c>
      <c r="G855" t="s">
        <v>5221</v>
      </c>
      <c r="H855" t="str">
        <f>INDEX([1]妻子表!$A:$A,MATCH(F855,[1]妻子表!$B:$B,0))</f>
        <v>ZA0183W01</v>
      </c>
      <c r="I855" t="str">
        <f>VLOOKUP(H855,[1]妻子表!$A:$D,4,0)</f>
        <v>刘氏转娥</v>
      </c>
      <c r="J855" t="s">
        <v>4159</v>
      </c>
      <c r="AA855" t="s">
        <v>5368</v>
      </c>
    </row>
    <row r="856" spans="1:27" x14ac:dyDescent="0.25">
      <c r="A856" t="s">
        <v>5369</v>
      </c>
      <c r="B856" t="s">
        <v>5370</v>
      </c>
      <c r="C856" t="s">
        <v>29</v>
      </c>
      <c r="D856" t="s">
        <v>1075</v>
      </c>
      <c r="E856" t="s">
        <v>4158</v>
      </c>
      <c r="F856" t="s">
        <v>5225</v>
      </c>
      <c r="G856" t="s">
        <v>5226</v>
      </c>
      <c r="H856" t="str">
        <f>INDEX([1]妻子表!$A:$A,MATCH(F856,[1]妻子表!$B:$B,0))</f>
        <v>ZA0184W01</v>
      </c>
      <c r="I856" t="str">
        <f>VLOOKUP(H856,[1]妻子表!$A:$D,4,0)</f>
        <v>陈氏二娘</v>
      </c>
      <c r="J856" t="s">
        <v>4159</v>
      </c>
      <c r="L856" t="s">
        <v>1228</v>
      </c>
      <c r="M856" t="s">
        <v>5371</v>
      </c>
      <c r="N856" t="s">
        <v>4047</v>
      </c>
      <c r="O856" t="s">
        <v>5372</v>
      </c>
      <c r="P856" t="s">
        <v>240</v>
      </c>
      <c r="Q856" t="s">
        <v>5373</v>
      </c>
      <c r="R856" t="s">
        <v>5374</v>
      </c>
      <c r="S856" t="s">
        <v>5375</v>
      </c>
      <c r="AA856" t="s">
        <v>5376</v>
      </c>
    </row>
    <row r="857" spans="1:27" x14ac:dyDescent="0.25">
      <c r="A857" t="s">
        <v>5377</v>
      </c>
      <c r="B857" t="s">
        <v>5378</v>
      </c>
      <c r="C857" t="s">
        <v>29</v>
      </c>
      <c r="D857" t="s">
        <v>1075</v>
      </c>
      <c r="E857" t="s">
        <v>4158</v>
      </c>
      <c r="F857" t="s">
        <v>5225</v>
      </c>
      <c r="G857" t="s">
        <v>5226</v>
      </c>
      <c r="H857" t="str">
        <f>INDEX([1]妻子表!$A:$A,MATCH(F857,[1]妻子表!$B:$B,0))</f>
        <v>ZA0184W01</v>
      </c>
      <c r="I857" t="str">
        <f>VLOOKUP(H857,[1]妻子表!$A:$D,4,0)</f>
        <v>陈氏二娘</v>
      </c>
      <c r="J857" t="s">
        <v>4159</v>
      </c>
      <c r="K857" t="s">
        <v>5282</v>
      </c>
      <c r="L857" t="s">
        <v>180</v>
      </c>
      <c r="M857" t="s">
        <v>5379</v>
      </c>
      <c r="N857" t="s">
        <v>5301</v>
      </c>
      <c r="O857" t="s">
        <v>5380</v>
      </c>
      <c r="P857" t="s">
        <v>257</v>
      </c>
      <c r="Q857" t="s">
        <v>5381</v>
      </c>
      <c r="R857" t="s">
        <v>4070</v>
      </c>
      <c r="S857" t="s">
        <v>5382</v>
      </c>
      <c r="T857" s="2" t="s">
        <v>5383</v>
      </c>
      <c r="U857" t="s">
        <v>5384</v>
      </c>
      <c r="AA857" t="s">
        <v>5385</v>
      </c>
    </row>
    <row r="858" spans="1:27" x14ac:dyDescent="0.25">
      <c r="A858" t="s">
        <v>5386</v>
      </c>
      <c r="B858" t="s">
        <v>5387</v>
      </c>
      <c r="C858" t="s">
        <v>29</v>
      </c>
      <c r="D858" t="s">
        <v>1075</v>
      </c>
      <c r="E858" t="s">
        <v>4158</v>
      </c>
      <c r="F858" t="s">
        <v>5230</v>
      </c>
      <c r="G858" t="s">
        <v>5231</v>
      </c>
      <c r="H858" t="str">
        <f>INDEX([1]妻子表!$A:$A,MATCH(F858,[1]妻子表!$B:$B,0))</f>
        <v>ZA0185W01</v>
      </c>
      <c r="I858" t="str">
        <f>VLOOKUP(H858,[1]妻子表!$A:$D,4,0)</f>
        <v>陈氏爱娘</v>
      </c>
      <c r="J858" t="s">
        <v>4159</v>
      </c>
      <c r="AA858" t="s">
        <v>5388</v>
      </c>
    </row>
    <row r="859" spans="1:27" x14ac:dyDescent="0.25">
      <c r="A859" t="s">
        <v>5389</v>
      </c>
      <c r="B859" t="s">
        <v>5390</v>
      </c>
      <c r="C859" t="s">
        <v>29</v>
      </c>
      <c r="D859" t="s">
        <v>1075</v>
      </c>
      <c r="E859" t="s">
        <v>4158</v>
      </c>
      <c r="F859" t="s">
        <v>5235</v>
      </c>
      <c r="G859" t="s">
        <v>5236</v>
      </c>
      <c r="J859" t="s">
        <v>4159</v>
      </c>
      <c r="K859" t="s">
        <v>5391</v>
      </c>
      <c r="L859" t="s">
        <v>506</v>
      </c>
      <c r="M859" t="s">
        <v>5392</v>
      </c>
      <c r="N859" t="s">
        <v>5393</v>
      </c>
      <c r="O859" t="s">
        <v>5394</v>
      </c>
      <c r="P859" t="s">
        <v>200</v>
      </c>
      <c r="Q859" t="s">
        <v>5395</v>
      </c>
      <c r="R859" t="s">
        <v>5396</v>
      </c>
      <c r="S859" t="s">
        <v>5397</v>
      </c>
      <c r="AA859" t="s">
        <v>5398</v>
      </c>
    </row>
    <row r="860" spans="1:27" x14ac:dyDescent="0.25">
      <c r="A860" t="s">
        <v>5399</v>
      </c>
      <c r="B860" t="s">
        <v>5400</v>
      </c>
      <c r="C860" t="s">
        <v>29</v>
      </c>
      <c r="D860" t="s">
        <v>1075</v>
      </c>
      <c r="E860" t="s">
        <v>4158</v>
      </c>
      <c r="F860" t="s">
        <v>5238</v>
      </c>
      <c r="G860" t="s">
        <v>5239</v>
      </c>
      <c r="J860" t="s">
        <v>4159</v>
      </c>
      <c r="K860" t="s">
        <v>5401</v>
      </c>
      <c r="L860" t="s">
        <v>860</v>
      </c>
      <c r="M860" t="s">
        <v>5402</v>
      </c>
      <c r="N860" t="s">
        <v>4104</v>
      </c>
      <c r="O860" t="s">
        <v>2417</v>
      </c>
      <c r="P860" t="s">
        <v>601</v>
      </c>
      <c r="Q860" t="s">
        <v>5403</v>
      </c>
      <c r="R860" t="s">
        <v>5313</v>
      </c>
      <c r="S860" t="s">
        <v>4384</v>
      </c>
      <c r="T860" s="2" t="s">
        <v>5404</v>
      </c>
      <c r="U860" t="s">
        <v>5405</v>
      </c>
      <c r="AA860" t="s">
        <v>5406</v>
      </c>
    </row>
    <row r="861" spans="1:27" x14ac:dyDescent="0.25">
      <c r="A861" t="s">
        <v>5407</v>
      </c>
      <c r="B861" t="s">
        <v>5408</v>
      </c>
      <c r="C861" t="s">
        <v>29</v>
      </c>
      <c r="D861" t="s">
        <v>2482</v>
      </c>
      <c r="E861" t="s">
        <v>4158</v>
      </c>
      <c r="F861" t="s">
        <v>5241</v>
      </c>
      <c r="G861" t="s">
        <v>5242</v>
      </c>
      <c r="H861" t="str">
        <f>INDEX([1]妻子表!$A:$A,MATCH(F861,[1]妻子表!$B:$B,0))</f>
        <v>ZA0188W01</v>
      </c>
      <c r="I861" t="str">
        <f>VLOOKUP(H861,[1]妻子表!$A:$D,4,0)</f>
        <v>朱四珠</v>
      </c>
      <c r="J861" t="s">
        <v>4159</v>
      </c>
      <c r="M861" t="s">
        <v>5409</v>
      </c>
      <c r="N861" t="s">
        <v>5410</v>
      </c>
      <c r="O861" t="s">
        <v>5411</v>
      </c>
      <c r="P861" t="s">
        <v>458</v>
      </c>
      <c r="T861" s="2" t="s">
        <v>5412</v>
      </c>
      <c r="U861" t="s">
        <v>5413</v>
      </c>
      <c r="Z861" t="s">
        <v>5414</v>
      </c>
      <c r="AA861" t="s">
        <v>5415</v>
      </c>
    </row>
    <row r="862" spans="1:27" x14ac:dyDescent="0.25">
      <c r="A862" t="s">
        <v>5416</v>
      </c>
      <c r="B862" t="s">
        <v>5417</v>
      </c>
      <c r="C862" t="s">
        <v>29</v>
      </c>
      <c r="D862" t="s">
        <v>2482</v>
      </c>
      <c r="E862" t="s">
        <v>4158</v>
      </c>
      <c r="F862" t="s">
        <v>5328</v>
      </c>
      <c r="G862" t="s">
        <v>5329</v>
      </c>
      <c r="H862" t="str">
        <f>INDEX([1]妻子表!$A:$A,MATCH(F862,[1]妻子表!$B:$B,0))</f>
        <v>ZA0202W01</v>
      </c>
      <c r="I862" t="str">
        <f>VLOOKUP(H862,[1]妻子表!$A:$D,4,0)</f>
        <v>黄救珠</v>
      </c>
      <c r="J862" t="s">
        <v>4159</v>
      </c>
      <c r="M862" t="s">
        <v>5418</v>
      </c>
      <c r="N862" t="s">
        <v>2522</v>
      </c>
      <c r="O862" t="s">
        <v>5419</v>
      </c>
      <c r="P862" t="s">
        <v>407</v>
      </c>
      <c r="T862" s="2" t="s">
        <v>5420</v>
      </c>
      <c r="U862" t="s">
        <v>5421</v>
      </c>
      <c r="Z862" t="s">
        <v>5422</v>
      </c>
      <c r="AA862" t="s">
        <v>5423</v>
      </c>
    </row>
    <row r="863" spans="1:27" x14ac:dyDescent="0.25">
      <c r="A863" t="s">
        <v>5424</v>
      </c>
      <c r="B863" t="s">
        <v>5425</v>
      </c>
      <c r="C863" t="s">
        <v>29</v>
      </c>
      <c r="D863" t="s">
        <v>2482</v>
      </c>
      <c r="E863" t="s">
        <v>4158</v>
      </c>
      <c r="F863" t="s">
        <v>5328</v>
      </c>
      <c r="G863" t="s">
        <v>5329</v>
      </c>
      <c r="H863" t="str">
        <f>INDEX([1]妻子表!$A:$A,MATCH(F863,[1]妻子表!$B:$B,0))</f>
        <v>ZA0202W01</v>
      </c>
      <c r="I863" t="str">
        <f>VLOOKUP(H863,[1]妻子表!$A:$D,4,0)</f>
        <v>黄救珠</v>
      </c>
      <c r="J863" t="s">
        <v>4159</v>
      </c>
      <c r="M863" t="s">
        <v>5426</v>
      </c>
      <c r="N863" t="s">
        <v>5427</v>
      </c>
      <c r="O863" t="s">
        <v>5428</v>
      </c>
      <c r="P863" t="s">
        <v>224</v>
      </c>
      <c r="T863" s="2" t="s">
        <v>5429</v>
      </c>
      <c r="U863" t="s">
        <v>5430</v>
      </c>
      <c r="AA863" t="s">
        <v>5431</v>
      </c>
    </row>
    <row r="864" spans="1:27" x14ac:dyDescent="0.25">
      <c r="A864" t="s">
        <v>5432</v>
      </c>
      <c r="B864" t="s">
        <v>5433</v>
      </c>
      <c r="C864" t="s">
        <v>3963</v>
      </c>
      <c r="D864" t="s">
        <v>2482</v>
      </c>
      <c r="E864" t="s">
        <v>4158</v>
      </c>
      <c r="F864" t="s">
        <v>5328</v>
      </c>
      <c r="G864" t="s">
        <v>5329</v>
      </c>
      <c r="H864" t="str">
        <f>INDEX([1]妻子表!$A:$A,MATCH(F864,[1]妻子表!$B:$B,0))</f>
        <v>ZA0202W01</v>
      </c>
      <c r="I864" t="str">
        <f>VLOOKUP(H864,[1]妻子表!$A:$D,4,0)</f>
        <v>黄救珠</v>
      </c>
      <c r="J864" t="s">
        <v>4159</v>
      </c>
      <c r="M864" t="s">
        <v>5434</v>
      </c>
      <c r="N864" t="s">
        <v>5435</v>
      </c>
      <c r="O864" t="s">
        <v>5436</v>
      </c>
      <c r="P864" t="s">
        <v>315</v>
      </c>
      <c r="V864" s="3"/>
      <c r="AA864" t="s">
        <v>5437</v>
      </c>
    </row>
    <row r="865" spans="1:27" x14ac:dyDescent="0.25">
      <c r="A865" t="s">
        <v>5438</v>
      </c>
      <c r="B865" t="s">
        <v>5439</v>
      </c>
      <c r="C865" t="s">
        <v>3963</v>
      </c>
      <c r="D865" t="s">
        <v>2482</v>
      </c>
      <c r="E865" t="s">
        <v>4158</v>
      </c>
      <c r="F865" t="s">
        <v>5328</v>
      </c>
      <c r="G865" t="s">
        <v>5329</v>
      </c>
      <c r="H865" t="str">
        <f>INDEX([1]妻子表!$A:$A,MATCH(F865,[1]妻子表!$B:$B,0))</f>
        <v>ZA0202W01</v>
      </c>
      <c r="I865" t="str">
        <f>VLOOKUP(H865,[1]妻子表!$A:$D,4,0)</f>
        <v>黄救珠</v>
      </c>
      <c r="J865" t="s">
        <v>4159</v>
      </c>
      <c r="M865" t="s">
        <v>5440</v>
      </c>
      <c r="N865" t="s">
        <v>5441</v>
      </c>
      <c r="O865" t="s">
        <v>5442</v>
      </c>
      <c r="P865" t="s">
        <v>224</v>
      </c>
      <c r="T865" s="2" t="s">
        <v>5443</v>
      </c>
      <c r="U865" t="s">
        <v>5444</v>
      </c>
      <c r="V865" s="3"/>
      <c r="AA865" t="s">
        <v>5445</v>
      </c>
    </row>
    <row r="866" spans="1:27" x14ac:dyDescent="0.25">
      <c r="A866" t="s">
        <v>5446</v>
      </c>
      <c r="B866" t="s">
        <v>5447</v>
      </c>
      <c r="C866" t="s">
        <v>29</v>
      </c>
      <c r="D866" t="s">
        <v>2482</v>
      </c>
      <c r="E866" t="s">
        <v>4158</v>
      </c>
      <c r="F866" t="s">
        <v>5350</v>
      </c>
      <c r="G866" t="s">
        <v>5351</v>
      </c>
      <c r="J866" t="s">
        <v>4159</v>
      </c>
      <c r="M866" t="s">
        <v>5448</v>
      </c>
      <c r="N866" t="s">
        <v>5449</v>
      </c>
      <c r="O866" t="s">
        <v>5450</v>
      </c>
      <c r="P866" t="s">
        <v>458</v>
      </c>
      <c r="T866" s="2" t="s">
        <v>5451</v>
      </c>
      <c r="U866" t="s">
        <v>5452</v>
      </c>
      <c r="AA866" t="s">
        <v>5453</v>
      </c>
    </row>
    <row r="867" spans="1:27" x14ac:dyDescent="0.25">
      <c r="A867" t="s">
        <v>5454</v>
      </c>
      <c r="B867" t="s">
        <v>5455</v>
      </c>
      <c r="C867" t="s">
        <v>29</v>
      </c>
      <c r="D867" t="s">
        <v>2482</v>
      </c>
      <c r="E867" t="s">
        <v>4158</v>
      </c>
      <c r="F867" t="s">
        <v>5355</v>
      </c>
      <c r="G867" t="s">
        <v>5356</v>
      </c>
      <c r="H867" t="str">
        <f>INDEX([1]妻子表!$A:$A,MATCH(F867,[1]妻子表!$B:$B,0))</f>
        <v>ZA0208W01</v>
      </c>
      <c r="I867" t="str">
        <f>VLOOKUP(H867,[1]妻子表!$A:$D,4,0)</f>
        <v>唐娣华</v>
      </c>
      <c r="J867" t="s">
        <v>4159</v>
      </c>
      <c r="M867" t="s">
        <v>5456</v>
      </c>
      <c r="N867" t="s">
        <v>5457</v>
      </c>
      <c r="O867" t="s">
        <v>5458</v>
      </c>
      <c r="P867" t="s">
        <v>169</v>
      </c>
      <c r="AA867" t="s">
        <v>5459</v>
      </c>
    </row>
    <row r="868" spans="1:27" x14ac:dyDescent="0.25">
      <c r="A868" t="s">
        <v>5460</v>
      </c>
      <c r="B868" t="s">
        <v>5461</v>
      </c>
      <c r="C868" t="s">
        <v>3963</v>
      </c>
      <c r="D868" t="s">
        <v>2482</v>
      </c>
      <c r="E868" t="s">
        <v>4158</v>
      </c>
      <c r="F868" t="s">
        <v>5355</v>
      </c>
      <c r="G868" t="s">
        <v>5356</v>
      </c>
      <c r="H868" t="str">
        <f>INDEX([1]妻子表!$A:$A,MATCH(F868,[1]妻子表!$B:$B,0))</f>
        <v>ZA0208W01</v>
      </c>
      <c r="I868" t="str">
        <f>VLOOKUP(H868,[1]妻子表!$A:$D,4,0)</f>
        <v>唐娣华</v>
      </c>
      <c r="J868" t="s">
        <v>4159</v>
      </c>
      <c r="M868" t="s">
        <v>5462</v>
      </c>
      <c r="N868" t="s">
        <v>5449</v>
      </c>
      <c r="O868" t="s">
        <v>5463</v>
      </c>
      <c r="P868" t="s">
        <v>458</v>
      </c>
      <c r="V868" s="3" t="str">
        <f>_xlfn.XLOOKUP(A868,[2]女婿表!$D:$D,[2]女婿表!$A:$A)</f>
        <v>ZA0223S01</v>
      </c>
      <c r="W868" t="str">
        <f>_xlfn.XLOOKUP(V868,[2]女婿表!$A:$A,[2]女婿表!$B:$B,0)</f>
        <v>张家里</v>
      </c>
      <c r="AA868" t="s">
        <v>5464</v>
      </c>
    </row>
    <row r="869" spans="1:27" x14ac:dyDescent="0.25">
      <c r="A869" t="s">
        <v>5465</v>
      </c>
      <c r="B869" t="s">
        <v>5466</v>
      </c>
      <c r="C869" t="s">
        <v>29</v>
      </c>
      <c r="D869" t="s">
        <v>2482</v>
      </c>
      <c r="E869" t="s">
        <v>4158</v>
      </c>
      <c r="F869" t="s">
        <v>5369</v>
      </c>
      <c r="G869" t="s">
        <v>5370</v>
      </c>
      <c r="J869" t="s">
        <v>4159</v>
      </c>
      <c r="T869" s="2" t="s">
        <v>5467</v>
      </c>
      <c r="U869" t="s">
        <v>5468</v>
      </c>
      <c r="Z869" t="s">
        <v>5469</v>
      </c>
      <c r="AA869" t="s">
        <v>5470</v>
      </c>
    </row>
    <row r="870" spans="1:27" x14ac:dyDescent="0.25">
      <c r="A870" t="s">
        <v>5471</v>
      </c>
      <c r="B870" t="s">
        <v>5472</v>
      </c>
      <c r="C870" t="s">
        <v>3963</v>
      </c>
      <c r="D870" t="s">
        <v>2482</v>
      </c>
      <c r="E870" t="s">
        <v>4158</v>
      </c>
      <c r="F870" t="s">
        <v>5369</v>
      </c>
      <c r="G870" t="s">
        <v>5370</v>
      </c>
      <c r="J870" t="s">
        <v>4159</v>
      </c>
    </row>
    <row r="871" spans="1:27" x14ac:dyDescent="0.25">
      <c r="A871" t="s">
        <v>5473</v>
      </c>
      <c r="B871" t="s">
        <v>5474</v>
      </c>
      <c r="C871" t="s">
        <v>3963</v>
      </c>
      <c r="D871" t="s">
        <v>2482</v>
      </c>
      <c r="E871" t="s">
        <v>4158</v>
      </c>
      <c r="J871" t="s">
        <v>4159</v>
      </c>
      <c r="M871" t="s">
        <v>5475</v>
      </c>
      <c r="N871" t="s">
        <v>5476</v>
      </c>
      <c r="O871" t="s">
        <v>5477</v>
      </c>
      <c r="P871" t="s">
        <v>169</v>
      </c>
      <c r="AA871" t="s">
        <v>5478</v>
      </c>
    </row>
    <row r="872" spans="1:27" x14ac:dyDescent="0.25">
      <c r="A872" t="s">
        <v>5479</v>
      </c>
      <c r="B872" t="s">
        <v>5480</v>
      </c>
      <c r="C872" t="s">
        <v>29</v>
      </c>
      <c r="D872" t="s">
        <v>2482</v>
      </c>
      <c r="E872" t="s">
        <v>4158</v>
      </c>
      <c r="F872" t="s">
        <v>5377</v>
      </c>
      <c r="G872" t="s">
        <v>5378</v>
      </c>
      <c r="H872" t="str">
        <f>INDEX([1]妻子表!$A:$A,MATCH(F872,[1]妻子表!$B:$B,0))</f>
        <v>ZA0212W01</v>
      </c>
      <c r="I872" t="str">
        <f>VLOOKUP(H872,[1]妻子表!$A:$D,4,0)</f>
        <v>刘珍珠</v>
      </c>
      <c r="J872" t="s">
        <v>4159</v>
      </c>
      <c r="M872" t="s">
        <v>5481</v>
      </c>
      <c r="N872" t="s">
        <v>3939</v>
      </c>
      <c r="O872" t="s">
        <v>187</v>
      </c>
      <c r="P872" t="s">
        <v>108</v>
      </c>
      <c r="T872" s="2" t="s">
        <v>5482</v>
      </c>
      <c r="U872" t="s">
        <v>5483</v>
      </c>
      <c r="AA872" t="s">
        <v>5484</v>
      </c>
    </row>
    <row r="873" spans="1:27" x14ac:dyDescent="0.25">
      <c r="A873" t="s">
        <v>5485</v>
      </c>
      <c r="B873" t="s">
        <v>5486</v>
      </c>
      <c r="C873" t="s">
        <v>3963</v>
      </c>
      <c r="D873" t="s">
        <v>2482</v>
      </c>
      <c r="E873" t="s">
        <v>4158</v>
      </c>
      <c r="F873" t="s">
        <v>5225</v>
      </c>
      <c r="G873" t="s">
        <v>5226</v>
      </c>
      <c r="H873" t="str">
        <f>INDEX([1]妻子表!$A:$A,MATCH(F873,[1]妻子表!$B:$B,0))</f>
        <v>ZA0184W01</v>
      </c>
      <c r="I873" t="str">
        <f>VLOOKUP(H873,[1]妻子表!$A:$D,4,0)</f>
        <v>陈氏二娘</v>
      </c>
      <c r="J873" t="s">
        <v>4159</v>
      </c>
      <c r="M873" t="s">
        <v>5487</v>
      </c>
      <c r="N873" t="s">
        <v>5488</v>
      </c>
      <c r="O873" t="s">
        <v>5489</v>
      </c>
      <c r="P873" t="s">
        <v>184</v>
      </c>
      <c r="V873" s="3" t="str">
        <f>_xlfn.XLOOKUP(A873,[2]女婿表!$D:$D,[2]女婿表!$A:$A)</f>
        <v>ZA0228S01</v>
      </c>
      <c r="W873" t="str">
        <f>_xlfn.XLOOKUP(V873,[2]女婿表!$A:$A,[2]女婿表!$B:$B,0)</f>
        <v>刘富珍</v>
      </c>
      <c r="AA873" t="s">
        <v>5490</v>
      </c>
    </row>
    <row r="874" spans="1:27" x14ac:dyDescent="0.25">
      <c r="A874" t="s">
        <v>5491</v>
      </c>
      <c r="B874" t="s">
        <v>5492</v>
      </c>
      <c r="C874" t="s">
        <v>29</v>
      </c>
      <c r="D874" t="s">
        <v>2482</v>
      </c>
      <c r="E874" t="s">
        <v>4158</v>
      </c>
      <c r="F874" t="s">
        <v>5259</v>
      </c>
      <c r="G874" t="s">
        <v>5260</v>
      </c>
      <c r="J874" t="s">
        <v>4159</v>
      </c>
      <c r="M874" t="s">
        <v>5493</v>
      </c>
      <c r="N874" t="s">
        <v>3898</v>
      </c>
      <c r="O874" t="s">
        <v>5494</v>
      </c>
      <c r="P874" t="s">
        <v>497</v>
      </c>
      <c r="T874" s="2" t="s">
        <v>5495</v>
      </c>
      <c r="U874" t="s">
        <v>5496</v>
      </c>
      <c r="Z874" t="s">
        <v>5497</v>
      </c>
      <c r="AA874" t="s">
        <v>5498</v>
      </c>
    </row>
    <row r="875" spans="1:27" x14ac:dyDescent="0.25">
      <c r="A875" t="s">
        <v>5499</v>
      </c>
      <c r="B875" t="s">
        <v>5500</v>
      </c>
      <c r="C875" t="s">
        <v>29</v>
      </c>
      <c r="D875" t="s">
        <v>2482</v>
      </c>
      <c r="E875" t="s">
        <v>4158</v>
      </c>
      <c r="F875" t="s">
        <v>5262</v>
      </c>
      <c r="G875" t="s">
        <v>5263</v>
      </c>
      <c r="H875" t="str">
        <f>INDEX([1]妻子表!$A:$A,MATCH(F875,[1]妻子表!$B:$B,0))</f>
        <v>ZA0192W01</v>
      </c>
      <c r="I875" t="str">
        <f>VLOOKUP(H875,[1]妻子表!$A:$D,4,0)</f>
        <v>朱氏招娘</v>
      </c>
      <c r="J875" t="s">
        <v>4159</v>
      </c>
      <c r="K875" t="s">
        <v>5282</v>
      </c>
      <c r="M875" t="s">
        <v>5501</v>
      </c>
      <c r="N875" t="s">
        <v>4005</v>
      </c>
      <c r="O875" t="s">
        <v>5502</v>
      </c>
      <c r="P875" t="s">
        <v>407</v>
      </c>
      <c r="T875" s="2" t="s">
        <v>5503</v>
      </c>
      <c r="U875" t="s">
        <v>5504</v>
      </c>
      <c r="AA875" t="s">
        <v>5505</v>
      </c>
    </row>
    <row r="876" spans="1:27" x14ac:dyDescent="0.25">
      <c r="A876" t="s">
        <v>5506</v>
      </c>
      <c r="B876" t="s">
        <v>5507</v>
      </c>
      <c r="C876" t="s">
        <v>29</v>
      </c>
      <c r="D876" t="s">
        <v>2482</v>
      </c>
      <c r="E876" t="s">
        <v>4158</v>
      </c>
      <c r="F876" t="s">
        <v>5280</v>
      </c>
      <c r="G876" t="s">
        <v>5281</v>
      </c>
      <c r="J876" t="s">
        <v>4159</v>
      </c>
      <c r="M876" t="s">
        <v>5508</v>
      </c>
      <c r="N876" t="s">
        <v>3898</v>
      </c>
      <c r="O876" t="s">
        <v>5509</v>
      </c>
      <c r="P876" t="s">
        <v>497</v>
      </c>
      <c r="T876" s="2" t="s">
        <v>5510</v>
      </c>
      <c r="U876" t="s">
        <v>5511</v>
      </c>
      <c r="AA876" t="s">
        <v>5512</v>
      </c>
    </row>
    <row r="877" spans="1:27" x14ac:dyDescent="0.25">
      <c r="A877" t="s">
        <v>5513</v>
      </c>
      <c r="B877" t="s">
        <v>5514</v>
      </c>
      <c r="C877" t="s">
        <v>29</v>
      </c>
      <c r="D877" t="s">
        <v>2482</v>
      </c>
      <c r="E877" t="s">
        <v>4158</v>
      </c>
      <c r="F877" t="s">
        <v>5280</v>
      </c>
      <c r="G877" t="s">
        <v>5281</v>
      </c>
      <c r="J877" t="s">
        <v>4159</v>
      </c>
      <c r="K877" t="s">
        <v>5282</v>
      </c>
      <c r="L877" t="s">
        <v>3153</v>
      </c>
      <c r="M877" t="s">
        <v>5515</v>
      </c>
      <c r="N877" t="s">
        <v>5516</v>
      </c>
      <c r="O877" t="s">
        <v>5517</v>
      </c>
      <c r="P877" t="s">
        <v>458</v>
      </c>
      <c r="Q877" t="s">
        <v>5518</v>
      </c>
      <c r="R877" t="s">
        <v>4059</v>
      </c>
      <c r="S877" t="s">
        <v>5519</v>
      </c>
      <c r="T877" s="2" t="s">
        <v>5520</v>
      </c>
      <c r="U877" t="s">
        <v>5521</v>
      </c>
      <c r="AA877" t="s">
        <v>5522</v>
      </c>
    </row>
    <row r="878" spans="1:27" x14ac:dyDescent="0.25">
      <c r="A878" t="s">
        <v>5523</v>
      </c>
      <c r="B878" t="s">
        <v>5524</v>
      </c>
      <c r="C878" t="s">
        <v>29</v>
      </c>
      <c r="D878" t="s">
        <v>2482</v>
      </c>
      <c r="E878" t="s">
        <v>4158</v>
      </c>
      <c r="F878" t="s">
        <v>5280</v>
      </c>
      <c r="G878" t="s">
        <v>5281</v>
      </c>
      <c r="J878" t="s">
        <v>4159</v>
      </c>
      <c r="M878" t="s">
        <v>5525</v>
      </c>
      <c r="N878" t="s">
        <v>2498</v>
      </c>
      <c r="O878" t="s">
        <v>5526</v>
      </c>
      <c r="P878" t="s">
        <v>497</v>
      </c>
      <c r="T878" s="2" t="s">
        <v>5527</v>
      </c>
      <c r="U878" t="s">
        <v>5528</v>
      </c>
      <c r="AA878" t="s">
        <v>5529</v>
      </c>
    </row>
    <row r="879" spans="1:27" x14ac:dyDescent="0.25">
      <c r="A879" t="s">
        <v>5530</v>
      </c>
      <c r="B879" t="s">
        <v>5531</v>
      </c>
      <c r="C879" t="s">
        <v>29</v>
      </c>
      <c r="D879" t="s">
        <v>2482</v>
      </c>
      <c r="E879" t="s">
        <v>4158</v>
      </c>
      <c r="F879" t="s">
        <v>5289</v>
      </c>
      <c r="G879" t="s">
        <v>5290</v>
      </c>
      <c r="H879" t="str">
        <f>INDEX([1]妻子表!$A:$A,MATCH(F879,[1]妻子表!$B:$B,0))</f>
        <v>ZA0197W01</v>
      </c>
      <c r="I879" t="str">
        <f>VLOOKUP(H879,[1]妻子表!$A:$D,4,0)</f>
        <v>某氏</v>
      </c>
      <c r="J879" t="s">
        <v>4159</v>
      </c>
      <c r="M879" t="s">
        <v>5532</v>
      </c>
      <c r="N879" t="s">
        <v>5441</v>
      </c>
      <c r="O879" t="s">
        <v>5533</v>
      </c>
      <c r="P879" t="s">
        <v>224</v>
      </c>
      <c r="T879" s="2" t="s">
        <v>5534</v>
      </c>
      <c r="U879" t="s">
        <v>5535</v>
      </c>
      <c r="AA879" t="s">
        <v>5536</v>
      </c>
    </row>
    <row r="880" spans="1:27" x14ac:dyDescent="0.25">
      <c r="A880" t="s">
        <v>5537</v>
      </c>
      <c r="B880" t="s">
        <v>5538</v>
      </c>
      <c r="C880" t="s">
        <v>29</v>
      </c>
      <c r="D880" t="s">
        <v>2482</v>
      </c>
      <c r="E880" t="s">
        <v>4158</v>
      </c>
      <c r="F880" t="s">
        <v>5289</v>
      </c>
      <c r="G880" t="s">
        <v>5290</v>
      </c>
      <c r="H880" t="str">
        <f>INDEX([1]妻子表!$A:$A,MATCH(F880,[1]妻子表!$B:$B,0))</f>
        <v>ZA0197W01</v>
      </c>
      <c r="I880" t="str">
        <f>VLOOKUP(H880,[1]妻子表!$A:$D,4,0)</f>
        <v>某氏</v>
      </c>
      <c r="J880" t="s">
        <v>4159</v>
      </c>
      <c r="M880" t="s">
        <v>5539</v>
      </c>
      <c r="N880" t="s">
        <v>5540</v>
      </c>
      <c r="O880" t="s">
        <v>5541</v>
      </c>
      <c r="P880" t="s">
        <v>257</v>
      </c>
      <c r="T880" s="2" t="s">
        <v>5542</v>
      </c>
      <c r="U880" t="s">
        <v>5543</v>
      </c>
      <c r="AA880" t="s">
        <v>5544</v>
      </c>
    </row>
    <row r="881" spans="1:27" x14ac:dyDescent="0.25">
      <c r="A881" t="s">
        <v>5545</v>
      </c>
      <c r="B881" t="s">
        <v>5546</v>
      </c>
      <c r="C881" t="s">
        <v>29</v>
      </c>
      <c r="D881" t="s">
        <v>2482</v>
      </c>
      <c r="E881" t="s">
        <v>4158</v>
      </c>
      <c r="F881" t="s">
        <v>5317</v>
      </c>
      <c r="G881" t="s">
        <v>5318</v>
      </c>
      <c r="H881" t="str">
        <f>INDEX([1]妻子表!$A:$A,MATCH(F881,[1]妻子表!$B:$B,0))</f>
        <v>ZA0201W01</v>
      </c>
      <c r="I881" t="str">
        <f>VLOOKUP(H881,[1]妻子表!$A:$D,4,0)</f>
        <v>刘氏竹娘</v>
      </c>
      <c r="J881" t="s">
        <v>4159</v>
      </c>
      <c r="K881" t="s">
        <v>5282</v>
      </c>
      <c r="L881" t="s">
        <v>392</v>
      </c>
      <c r="M881" t="s">
        <v>5547</v>
      </c>
      <c r="N881" t="s">
        <v>5548</v>
      </c>
      <c r="O881" t="s">
        <v>5549</v>
      </c>
      <c r="P881" t="s">
        <v>601</v>
      </c>
      <c r="Q881" t="s">
        <v>5550</v>
      </c>
      <c r="R881" t="s">
        <v>5551</v>
      </c>
      <c r="S881" t="s">
        <v>5552</v>
      </c>
      <c r="T881" s="2" t="s">
        <v>5553</v>
      </c>
      <c r="U881" t="s">
        <v>5554</v>
      </c>
      <c r="AA881" t="s">
        <v>5555</v>
      </c>
    </row>
    <row r="882" spans="1:27" x14ac:dyDescent="0.25">
      <c r="A882" t="s">
        <v>5556</v>
      </c>
      <c r="B882" t="s">
        <v>5557</v>
      </c>
      <c r="C882" t="s">
        <v>3963</v>
      </c>
      <c r="D882" t="s">
        <v>2482</v>
      </c>
      <c r="E882" t="s">
        <v>4158</v>
      </c>
      <c r="F882" t="s">
        <v>5317</v>
      </c>
      <c r="G882" t="s">
        <v>5318</v>
      </c>
      <c r="H882" t="str">
        <f>INDEX([1]妻子表!$A:$A,MATCH(F882,[1]妻子表!$B:$B,0))</f>
        <v>ZA0201W01</v>
      </c>
      <c r="I882" t="str">
        <f>VLOOKUP(H882,[1]妻子表!$A:$D,4,0)</f>
        <v>刘氏竹娘</v>
      </c>
      <c r="J882" t="s">
        <v>4159</v>
      </c>
      <c r="V882" s="3" t="str">
        <f>_xlfn.XLOOKUP(A882,[2]女婿表!$D:$D,[2]女婿表!$A:$A)</f>
        <v>ZA0237S01</v>
      </c>
      <c r="W882" t="str">
        <f>_xlfn.XLOOKUP(V882,[2]女婿表!$A:$A,[2]女婿表!$B:$B,0)</f>
        <v>陈发卿</v>
      </c>
      <c r="AA882" t="s">
        <v>5558</v>
      </c>
    </row>
    <row r="883" spans="1:27" x14ac:dyDescent="0.25">
      <c r="A883" t="s">
        <v>5559</v>
      </c>
      <c r="B883" t="s">
        <v>5560</v>
      </c>
      <c r="C883" t="s">
        <v>3963</v>
      </c>
      <c r="D883" t="s">
        <v>2482</v>
      </c>
      <c r="E883" t="s">
        <v>4158</v>
      </c>
      <c r="F883" t="s">
        <v>5317</v>
      </c>
      <c r="G883" t="s">
        <v>5318</v>
      </c>
      <c r="H883" t="str">
        <f>INDEX([1]妻子表!$A:$A,MATCH(F883,[1]妻子表!$B:$B,0))</f>
        <v>ZA0201W01</v>
      </c>
      <c r="I883" t="str">
        <f>VLOOKUP(H883,[1]妻子表!$A:$D,4,0)</f>
        <v>刘氏竹娘</v>
      </c>
      <c r="J883" t="s">
        <v>4159</v>
      </c>
      <c r="V883" s="3" t="str">
        <f>_xlfn.XLOOKUP(A883,[2]女婿表!$D:$D,[2]女婿表!$A:$A)</f>
        <v>ZA0238S01</v>
      </c>
      <c r="W883" t="str">
        <f>_xlfn.XLOOKUP(V883,[2]女婿表!$A:$A,[2]女婿表!$B:$B,0)</f>
        <v>刘文基</v>
      </c>
      <c r="AA883" t="s">
        <v>5561</v>
      </c>
    </row>
    <row r="884" spans="1:27" x14ac:dyDescent="0.25">
      <c r="A884" t="s">
        <v>5562</v>
      </c>
      <c r="B884" t="s">
        <v>5563</v>
      </c>
      <c r="C884" t="s">
        <v>29</v>
      </c>
      <c r="D884" t="s">
        <v>2482</v>
      </c>
      <c r="E884" t="s">
        <v>4158</v>
      </c>
      <c r="F884" t="s">
        <v>5377</v>
      </c>
      <c r="G884" t="s">
        <v>5378</v>
      </c>
      <c r="H884" t="str">
        <f>INDEX([1]妻子表!$A:$A,MATCH(F884,[1]妻子表!$B:$B,0))</f>
        <v>ZA0212W01</v>
      </c>
      <c r="I884" t="str">
        <f>VLOOKUP(H884,[1]妻子表!$A:$D,4,0)</f>
        <v>刘珍珠</v>
      </c>
      <c r="J884" t="s">
        <v>4159</v>
      </c>
      <c r="AA884" t="s">
        <v>5564</v>
      </c>
    </row>
    <row r="885" spans="1:27" x14ac:dyDescent="0.25">
      <c r="A885" t="s">
        <v>5565</v>
      </c>
      <c r="B885" t="s">
        <v>5566</v>
      </c>
      <c r="C885" t="s">
        <v>29</v>
      </c>
      <c r="D885" t="s">
        <v>2482</v>
      </c>
      <c r="E885" t="s">
        <v>4158</v>
      </c>
      <c r="F885" t="s">
        <v>5389</v>
      </c>
      <c r="G885" t="s">
        <v>5390</v>
      </c>
      <c r="J885" t="s">
        <v>4159</v>
      </c>
      <c r="M885" t="s">
        <v>5567</v>
      </c>
      <c r="N885" t="s">
        <v>2611</v>
      </c>
      <c r="O885" t="s">
        <v>5568</v>
      </c>
      <c r="P885" t="s">
        <v>240</v>
      </c>
      <c r="T885" s="2" t="s">
        <v>5569</v>
      </c>
      <c r="U885" t="s">
        <v>5570</v>
      </c>
      <c r="AA885" t="s">
        <v>5571</v>
      </c>
    </row>
    <row r="886" spans="1:27" x14ac:dyDescent="0.25">
      <c r="A886" t="s">
        <v>5572</v>
      </c>
      <c r="B886" t="s">
        <v>5573</v>
      </c>
      <c r="C886" t="s">
        <v>29</v>
      </c>
      <c r="D886" t="s">
        <v>2482</v>
      </c>
      <c r="E886" t="s">
        <v>4158</v>
      </c>
      <c r="F886" t="s">
        <v>5399</v>
      </c>
      <c r="G886" t="s">
        <v>5400</v>
      </c>
      <c r="H886" t="str">
        <f>INDEX([1]妻子表!$A:$A,MATCH(F886,[1]妻子表!$B:$B,0))</f>
        <v>ZA0215W01</v>
      </c>
      <c r="I886" t="str">
        <f>VLOOKUP(H886,[1]妻子表!$A:$D,4,0)</f>
        <v>刘亲</v>
      </c>
      <c r="J886" t="s">
        <v>4159</v>
      </c>
      <c r="M886" t="s">
        <v>5574</v>
      </c>
      <c r="N886" t="s">
        <v>5313</v>
      </c>
      <c r="O886" t="s">
        <v>5575</v>
      </c>
      <c r="P886" t="s">
        <v>315</v>
      </c>
      <c r="Q886" s="1" t="s">
        <v>5576</v>
      </c>
      <c r="R886" s="1" t="s">
        <v>5577</v>
      </c>
      <c r="S886" s="1" t="s">
        <v>5578</v>
      </c>
      <c r="T886" s="2" t="s">
        <v>5579</v>
      </c>
      <c r="U886" t="s">
        <v>5580</v>
      </c>
      <c r="X886" s="1"/>
      <c r="AA886" t="s">
        <v>5581</v>
      </c>
    </row>
  </sheetData>
  <autoFilter ref="A1:AA886" xr:uid="{00000000-0009-0000-0000-000000000000}"/>
  <phoneticPr fontId="1" type="noConversion"/>
  <conditionalFormatting sqref="A2:A1048576">
    <cfRule type="duplicateValues" dxfId="0" priority="1"/>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 luo</dc:creator>
  <cp:lastModifiedBy>yx luo</cp:lastModifiedBy>
  <dcterms:created xsi:type="dcterms:W3CDTF">2026-04-11T00:54:39Z</dcterms:created>
  <dcterms:modified xsi:type="dcterms:W3CDTF">2026-07-19T02:10:37Z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agleCloud">
    <vt:lpwstr>61676334b4e8422151e4396755301438fd3bce868d989e6a1861dca64267c4e2e5e763b113ed0745468e8a17bd6596b00cf9814e90b2ab614a7ed5a486d7be37db064fff520e6c66d06680fd0d6d76ed26044ebbe374175733f48473bba2194bf017d761a70606f825766f775a2468e7c69fa0031b55f63f876afcaf32294f6</vt:lpwstr>
  </property>
  <property fmtid="{D5CDD505-2E9C-101B-9397-08002B2CF9AE}" pid="3" name="EagleCloud1">
    <vt:lpwstr>8894ba15a5501858c968daeae8adfa16a5461c6c5a3c6bc1382ab4f309f02bd0da7bbf7cfb4d01192c60eccb9b4c66bf601d058120ac9f8d3a3e1caf2d07298c8ee190596831b2139ac6f545fa0d3374374f2d8a7db9d605f20e0186ee594b98dc9d12f56fe18bb32616d30cce70d570e69a646fce278ae03810bbc09063152</vt:lpwstr>
  </property>
  <property fmtid="{D5CDD505-2E9C-101B-9397-08002B2CF9AE}" pid="4" name="EagleCloud2">
    <vt:lpwstr>faf6481902fa7a6945022c0acce15c8303e94744d8458a06d8ce3c80b696f338d9d864ca075ecc4d0898704e9913e1bdca6074c6ed60766b609f355975f6a96bfbe4eac61f4565c6f8fe52b813d94c72412a0c16efaa2c04fc342d86d38a95da9695e44e2dd0ac6d93d828889c33472406412f560faf917d5b561d12a313854</vt:lpwstr>
  </property>
  <property fmtid="{D5CDD505-2E9C-101B-9397-08002B2CF9AE}" pid="5" name="EagleCloud3">
    <vt:lpwstr>fc9047c97e048f3d00df8834d13597af925b14fd8a0f39bb12bc6f1343bdfb44be002013eb03363cd72b26accf8a66c0fe0b3f54c2c94646d3108f116e37a5e670ecdb1076eba7eba7de83256d7887b27a177b6a89879f0b9dee029de709aa34be287b948f19b9949b4ef1f047e220b0c7d99b38cca0d2f40b176abca3e021d</vt:lpwstr>
  </property>
  <property fmtid="{D5CDD505-2E9C-101B-9397-08002B2CF9AE}" pid="6" name="EagleCloud4">
    <vt:lpwstr>da3a1d2cfe6160ae20e3587f8299539c94de2e2b7e2a2a2f8787028c0497f4f07b3722f8ef41800853dcab28718acc30ee0b72124baef3ca949b3cb8d75009c287af12e64257aa008fcb3052106dbf8ca7f497c33b41c7ddcc05f92acf87949ff76f5af17bebc1ebedc4889b98901a35217925e515be9f8421d2fcc28521aaf</vt:lpwstr>
  </property>
  <property fmtid="{D5CDD505-2E9C-101B-9397-08002B2CF9AE}" pid="7" name="EagleCloud5">
    <vt:lpwstr>c374e2a26ae37cdbd44ab980306b0650129af7ed29f4a4cc983f1aca9fb34a4215f9800769fd8db2686416296294fd578dc2145348c445c78cab26331bcd9c7515806b963df97e98b361a27dee1419fdf145f8fa33f9e8429c668c4d8ddebb3bc88e5659e184dd6324be06844c7756161abd0ca93e407d9f6044c526dc841ba</vt:lpwstr>
  </property>
  <property fmtid="{D5CDD505-2E9C-101B-9397-08002B2CF9AE}" pid="8" name="EagleCloud6">
    <vt:lpwstr>8779955aa4201fa48fc925d951352350689190f0a6bb3b68a06f8beccea6ee29f44ca01c56fc782ffda05c06581ffdfcf717d5db164f90bc2f5160f389f793d11ee0a25b2d0f9bb3d313f6241684bf50f5650f605f0c97961131accc5803f41178c4b51d2a09a5048be36b74fc3a31f2bb18acc89c0659eb28ca3bbdad900fe</vt:lpwstr>
  </property>
  <property fmtid="{D5CDD505-2E9C-101B-9397-08002B2CF9AE}" pid="9" name="EagleCloud7">
    <vt:lpwstr>d562a42de30fc20d0b10152d78ec8434d155585448cc82d6fb9d7594f9758a82992c31914a74842902e507463c2fb5dc2f012bbd4f92f19498d13c1c5b3d0da233e8c2fa8f09e9fc3d0f09805b4058e4dfe6cf92089ac8612ab5d1709acf055c2fa86111e95d8284b3f628b9911ba2bd643666e999171f18c15597a466c5b4d</vt:lpwstr>
  </property>
  <property fmtid="{D5CDD505-2E9C-101B-9397-08002B2CF9AE}" pid="10" name="EagleCloud8">
    <vt:lpwstr>2dde328cd48df411c936024add14dbaa9d21e15c474e0daa0995398eb035b03343481f2040324d275915caaec6b6fb0360455e9b4d6440ae8df70a3250e6c3c07c0c8855e3111f36bb5247f334d2b06dc90360ae46a420b3c42f3c28efb3198754a1b110fe4990403d474c75e2c4a677930212bb0d8f26f6b536048218d0061</vt:lpwstr>
  </property>
  <property fmtid="{D5CDD505-2E9C-101B-9397-08002B2CF9AE}" pid="11" name="EagleCloud9">
    <vt:lpwstr>5ae2c75a999d0295a034b306fa015d792d9d3918242a44205366642fcc0d4a9c0b777867aa784f09cda36a0628912893385d0b15234f574bed400a804a12f5a4f561b79a445aca7ecf2a5ae3ec59b7542b57a7722</vt:lpwstr>
  </property>
  <property fmtid="{D5CDD505-2E9C-101B-9397-08002B2CF9AE}" pid="12" name="EagleYun">
    <vt:lpwstr>6dbef8eacd6f0cce43476775f1640dc770e612d33d2a54c73c1ea6dfe082f85844d50361c8fcd05ab703b0fff1d316e17315db91888562df1477ceb794cd30d63942aaf51f32c871f478500b70051c76668e84910807ac5ee8e61c68eca653f0f1158ae58d5f47c52a45cc441bfc1b1b</vt:lpwstr>
  </property>
</Properties>
</file>